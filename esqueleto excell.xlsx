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Nicolás\Downloads\"/>
    </mc:Choice>
  </mc:AlternateContent>
  <xr:revisionPtr revIDLastSave="0" documentId="13_ncr:1_{7DF868C2-1A3E-4B40-ADD2-25B2FC6217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e ABIS" sheetId="1" r:id="rId1"/>
    <sheet name="Vista Cuarteles" sheetId="2" r:id="rId2"/>
    <sheet name="Vista Nacionalidades" sheetId="3" r:id="rId3"/>
  </sheets>
  <definedNames>
    <definedName name="_xlnm.Print_Area" localSheetId="0">'Informe ABIS'!$A$1:$H$68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E45" i="1" s="1"/>
  <c r="E46" i="1" s="1"/>
  <c r="D5" i="3"/>
  <c r="F6" i="2"/>
  <c r="F5" i="2"/>
  <c r="G21" i="1" s="1"/>
  <c r="D45" i="1"/>
  <c r="C45" i="1"/>
  <c r="B45" i="1"/>
  <c r="E44" i="1"/>
  <c r="D44" i="1"/>
  <c r="D46" i="1" s="1"/>
  <c r="C44" i="1"/>
  <c r="B44" i="1"/>
  <c r="G22" i="1"/>
  <c r="F22" i="1"/>
  <c r="E22" i="1"/>
  <c r="D22" i="1"/>
  <c r="C22" i="1"/>
  <c r="B22" i="1"/>
  <c r="F21" i="1"/>
  <c r="F23" i="1" s="1"/>
  <c r="F14" i="1" s="1"/>
  <c r="E21" i="1"/>
  <c r="E23" i="1" s="1"/>
  <c r="C14" i="1" s="1"/>
  <c r="D21" i="1"/>
  <c r="D23" i="1" s="1"/>
  <c r="C21" i="1"/>
  <c r="B21" i="1"/>
  <c r="C23" i="1" s="1"/>
  <c r="C15" i="1" l="1"/>
  <c r="D14" i="1"/>
  <c r="B14" i="1"/>
  <c r="F15" i="1"/>
  <c r="D15" i="1"/>
  <c r="G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Informe ABIS</author>
  </authors>
  <commentList>
    <comment ref="D1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Registros sin inconsistencias = Total enrolamientos − Con error.</t>
        </r>
      </text>
    </comment>
  </commentList>
</comments>
</file>

<file path=xl/sharedStrings.xml><?xml version="1.0" encoding="utf-8"?>
<sst xmlns="http://schemas.openxmlformats.org/spreadsheetml/2006/main" count="71" uniqueCount="62">
  <si>
    <t>POLICÍA DE INVESTIGACIONES DE CHILE  |  JEFATURA NACIONAL DE MIGRACIONES Y POLICÍA INTERNACIONAL</t>
  </si>
  <si>
    <t>SISTEMA ABIS</t>
  </si>
  <si>
    <t>INFORME ESTADÍSTICO DE IDENTIFICACIÓN BIOMÉTRICA</t>
  </si>
  <si>
    <t>PERÍODO CONSULTADO</t>
  </si>
  <si>
    <t>2026-08-22</t>
  </si>
  <si>
    <t>FECHA DE EMISIÓN</t>
  </si>
  <si>
    <t>viernes, 2 de octubre de 2026, 10:59:52 a. m.</t>
  </si>
  <si>
    <t>CLASIFICACIÓN</t>
  </si>
  <si>
    <t>USO OFICIAL RESERVADO - PDI CHILE</t>
  </si>
  <si>
    <t>1. RESUMEN EJECUTIVO</t>
  </si>
  <si>
    <t>Consolidado del período seleccionado.</t>
  </si>
  <si>
    <t>Fuente: Vista Cuarteles  ›</t>
  </si>
  <si>
    <t>TOTAL ENROLAMIENTOS</t>
  </si>
  <si>
    <t>SINCRONIZADOS PDI</t>
  </si>
  <si>
    <t>REGISTRO BIOMÉTRICO VÁLIDO</t>
  </si>
  <si>
    <t>INCONSISTENCIAS / ERROR</t>
  </si>
  <si>
    <t>Registros biométricos</t>
  </si>
  <si>
    <t>2. RENDIMIENTO OPERATIVO POR PUESTO / CUARTEL</t>
  </si>
  <si>
    <t>Carga operativa y sincronización efectiva con los servicios centrales de la PDI.</t>
  </si>
  <si>
    <t>PUESTO / CUARTEL</t>
  </si>
  <si>
    <t>UNIDAD POLICIAL</t>
  </si>
  <si>
    <t>TOTAL ENROLADOS</t>
  </si>
  <si>
    <t>CON ERROR</t>
  </si>
  <si>
    <t>EFECTIVIDAD (%)</t>
  </si>
  <si>
    <t>TOTAL GENERAL</t>
  </si>
  <si>
    <t>3. ENROLADOS POR NACIONALIDAD</t>
  </si>
  <si>
    <t>Distribución de nacionalidades detectadas durante el período.</t>
  </si>
  <si>
    <t>Fuente: Vista Nacionalidades  ›</t>
  </si>
  <si>
    <t>PAÍS / NACIONALIDAD</t>
  </si>
  <si>
    <t>CÓDIGO ISO</t>
  </si>
  <si>
    <t>PROPORCIÓN (%)</t>
  </si>
  <si>
    <t>4. FUENTES DE DATOS</t>
  </si>
  <si>
    <t>Cada tarjeta, tabla y gráfico de este informe se calcula desde estas vistas. El Dashboard Web usa las mismas.</t>
  </si>
  <si>
    <t>VISTA (HOJA)</t>
  </si>
  <si>
    <t>ALIMENTA EN ESTE INFORME</t>
  </si>
  <si>
    <t>TAMBIÉN ALIMENTA</t>
  </si>
  <si>
    <t>Vista Cuarteles</t>
  </si>
  <si>
    <t>Sección 1 (tarjetas), sección 2 (tabla) y gráfico «Enrolamientos por cuartel»</t>
  </si>
  <si>
    <t>Dashboard Web</t>
  </si>
  <si>
    <t>Vista Nacionalidades</t>
  </si>
  <si>
    <t>Sección 3 (tabla) y gráfico «Enrolados por nacionalidad»</t>
  </si>
  <si>
    <t>Documento oficial generado automáticamente por el Sistema ABIS de la Policía de Investigaciones de Chile. Información protegida por la Ley N° 19.628. Prohibida su divulgación no autorizada.</t>
  </si>
  <si>
    <t>Fuente de datos del informe (secciones 1 y 2, tarjetas y gráfico) y del Dashboard Web. Si estos datos cambian, el informe se actualiza solo.</t>
  </si>
  <si>
    <t>← Volver al informe</t>
  </si>
  <si>
    <t>Puesto / Cuartel Fronterizo</t>
  </si>
  <si>
    <t>Unidad Policial</t>
  </si>
  <si>
    <t>Total Enrolados</t>
  </si>
  <si>
    <t>Sincronizados PDI</t>
  </si>
  <si>
    <t>Con Inconsistencias</t>
  </si>
  <si>
    <t>Tasa de Éxito</t>
  </si>
  <si>
    <t>ANGAMOS</t>
  </si>
  <si>
    <t>PREPOLIN ARICA</t>
  </si>
  <si>
    <t>CUYA</t>
  </si>
  <si>
    <t>Fuente de datos del informe (sección 3 y gráfico) y del Dashboard Web. Si estos datos cambian, el informe se actualiza solo.</t>
  </si>
  <si>
    <t>País / Nacionalidad</t>
  </si>
  <si>
    <t>Código ISO</t>
  </si>
  <si>
    <t>Total Enrolamientos</t>
  </si>
  <si>
    <t>Proporción (%)</t>
  </si>
  <si>
    <t>PERÚ</t>
  </si>
  <si>
    <t>PER</t>
  </si>
  <si>
    <t>VENEZUELA</t>
  </si>
  <si>
    <t>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</si>
</sst>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8" x14ac:knownFonts="1">
    <font>
      <sz val="11"/>
      <color theme="1"/>
      <name val="Calibri"/>
      <family val="2"/>
      <scheme val="minor"/>
    </font>
    <font>
      <b/>
      <sz val="14"/>
      <color rgb="FF0B2A5B"/>
      <name val="Segoe UI"/>
    </font>
    <font>
      <sz val="9"/>
      <color rgb="FF64748B"/>
      <name val="Segoe UI"/>
    </font>
    <font>
      <u/>
      <sz val="9"/>
      <color rgb="FF0F766E"/>
      <name val="Segoe UI"/>
    </font>
    <font>
      <b/>
      <sz val="9"/>
      <color rgb="FFFFFFFF"/>
      <name val="Segoe UI"/>
    </font>
    <font>
      <sz val="9"/>
      <color rgb="FF1E293B"/>
      <name val="Segoe UI"/>
    </font>
    <font>
      <b/>
      <sz val="9"/>
      <color rgb="FF1E293B"/>
      <name val="Segoe UI"/>
    </font>
    <font>
      <u/>
      <sz val="9"/>
      <color rgb="FF2B5FAE"/>
      <name val="Segoe UI"/>
    </font>
    <font>
      <b/>
      <sz val="8"/>
      <color rgb="FF64748B"/>
      <name val="Segoe UI"/>
    </font>
    <font>
      <b/>
      <sz val="22"/>
      <color rgb="FF0B2A5B"/>
      <name val="Segoe UI"/>
    </font>
    <font>
      <b/>
      <sz val="8.5"/>
      <color rgb="FF0B2A5B"/>
      <name val="Segoe UI"/>
    </font>
    <font>
      <b/>
      <sz val="11"/>
      <color rgb="FF0B2A5B"/>
      <name val="Segoe UI"/>
    </font>
    <font>
      <sz val="8"/>
      <color rgb="FF64748B"/>
      <name val="Segoe UI"/>
    </font>
    <font>
      <i/>
      <u/>
      <sz val="8"/>
      <color rgb="FF64748B"/>
      <name val="Segoe UI"/>
    </font>
    <font>
      <b/>
      <sz val="8"/>
      <color rgb="FFFFFFFF"/>
      <name val="Segoe UI"/>
    </font>
    <font>
      <b/>
      <sz val="24"/>
      <color rgb="FF0B2A5B"/>
      <name val="Segoe UI"/>
    </font>
    <font>
      <b/>
      <sz val="24"/>
      <color rgb="FF0F766E"/>
      <name val="Segoe UI"/>
    </font>
    <font>
      <b/>
      <sz val="24"/>
      <color rgb="FF2B5FAE"/>
      <name val="Segoe UI"/>
    </font>
    <font>
      <b/>
      <sz val="24"/>
      <color rgb="FFD92D20"/>
      <name val="Segoe UI"/>
    </font>
    <font>
      <b/>
      <sz val="9"/>
      <color rgb="FF0F766E"/>
      <name val="Segoe UI"/>
    </font>
    <font>
      <b/>
      <sz val="10"/>
      <color rgb="FF0B2A5B"/>
      <name val="Segoe UI"/>
    </font>
    <font>
      <b/>
      <sz val="10"/>
      <color rgb="FF0F766E"/>
      <name val="Segoe UI"/>
    </font>
    <font>
      <b/>
      <sz val="10"/>
      <color rgb="FFD92D20"/>
      <name val="Segoe UI"/>
    </font>
    <font>
      <b/>
      <sz val="9"/>
      <color rgb="FF2B5FAE"/>
      <name val="Segoe UI"/>
    </font>
    <font>
      <b/>
      <sz val="10"/>
      <color rgb="FF2B5FAE"/>
      <name val="Segoe UI"/>
    </font>
    <font>
      <b/>
      <u/>
      <sz val="9"/>
      <color rgb="FF475569"/>
      <name val="Segoe UI"/>
    </font>
    <font>
      <b/>
      <sz val="9"/>
      <color rgb="FF475569"/>
      <name val="Segoe UI"/>
    </font>
    <font>
      <sz val="7.5"/>
      <color rgb="FF64748B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2B5FAE"/>
      </patternFill>
    </fill>
    <fill>
      <patternFill patternType="solid">
        <fgColor rgb="FFE8EDF5"/>
      </patternFill>
    </fill>
    <fill>
      <patternFill patternType="solid">
        <fgColor rgb="FF0B2A5B"/>
      </patternFill>
    </fill>
    <fill>
      <patternFill patternType="solid">
        <fgColor rgb="FFE6F4F1"/>
      </patternFill>
    </fill>
    <fill>
      <patternFill patternType="solid">
        <fgColor rgb="FFE8F0FB"/>
      </patternFill>
    </fill>
    <fill>
      <patternFill patternType="solid">
        <fgColor rgb="FFD92D20"/>
      </patternFill>
    </fill>
    <fill>
      <patternFill patternType="solid">
        <fgColor rgb="FFFDECEA"/>
      </patternFill>
    </fill>
    <fill>
      <patternFill patternType="solid">
        <fgColor rgb="FF475569"/>
      </patternFill>
    </fill>
    <fill>
      <patternFill patternType="solid">
        <fgColor rgb="FFEEF1F5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0B2A5B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thin">
        <color rgb="FFD5DCE8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CBD5E1"/>
      </bottom>
      <diagonal/>
    </border>
    <border>
      <left/>
      <right/>
      <top style="thin">
        <color rgb="FF0F766E"/>
      </top>
      <bottom style="thin">
        <color rgb="FF0F766E"/>
      </bottom>
      <diagonal/>
    </border>
    <border>
      <left/>
      <right/>
      <top style="thin">
        <color rgb="FF2B5FAE"/>
      </top>
      <bottom style="thin">
        <color rgb="FF2B5FAE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/>
    <xf numFmtId="0" fontId="10" fillId="4" borderId="4" xfId="0" applyFont="1" applyFill="1" applyBorder="1" applyAlignment="1">
      <alignment horizontal="left" vertical="center" wrapText="1" indent="1"/>
    </xf>
    <xf numFmtId="0" fontId="14" fillId="5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3" fontId="15" fillId="4" borderId="2" xfId="0" applyNumberFormat="1" applyFont="1" applyFill="1" applyBorder="1" applyAlignment="1">
      <alignment horizontal="center" vertical="center" wrapText="1"/>
    </xf>
    <xf numFmtId="3" fontId="16" fillId="6" borderId="2" xfId="0" applyNumberFormat="1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3" fontId="6" fillId="0" borderId="3" xfId="0" applyNumberFormat="1" applyFont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0" fontId="19" fillId="6" borderId="6" xfId="0" applyFont="1" applyFill="1" applyBorder="1" applyAlignment="1">
      <alignment horizontal="left" vertical="center" wrapText="1"/>
    </xf>
    <xf numFmtId="0" fontId="12" fillId="6" borderId="6" xfId="0" applyFont="1" applyFill="1" applyBorder="1" applyAlignment="1">
      <alignment horizontal="left" vertical="center" wrapText="1"/>
    </xf>
    <xf numFmtId="3" fontId="20" fillId="6" borderId="6" xfId="0" applyNumberFormat="1" applyFont="1" applyFill="1" applyBorder="1" applyAlignment="1">
      <alignment horizontal="center" vertical="center" wrapText="1"/>
    </xf>
    <xf numFmtId="3" fontId="21" fillId="6" borderId="6" xfId="0" applyNumberFormat="1" applyFont="1" applyFill="1" applyBorder="1" applyAlignment="1">
      <alignment horizontal="center" vertical="center" wrapText="1"/>
    </xf>
    <xf numFmtId="3" fontId="22" fillId="6" borderId="6" xfId="0" applyNumberFormat="1" applyFont="1" applyFill="1" applyBorder="1" applyAlignment="1">
      <alignment horizontal="center" vertical="center" wrapText="1"/>
    </xf>
    <xf numFmtId="164" fontId="21" fillId="6" borderId="6" xfId="0" applyNumberFormat="1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23" fillId="7" borderId="7" xfId="0" applyFont="1" applyFill="1" applyBorder="1" applyAlignment="1">
      <alignment horizontal="left" vertical="center" wrapText="1"/>
    </xf>
    <xf numFmtId="0" fontId="0" fillId="7" borderId="7" xfId="0" applyFill="1" applyBorder="1"/>
    <xf numFmtId="3" fontId="20" fillId="7" borderId="7" xfId="0" applyNumberFormat="1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left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25" fillId="11" borderId="4" xfId="0" applyFont="1" applyFill="1" applyBorder="1" applyAlignment="1">
      <alignment horizontal="left" vertical="center" wrapText="1"/>
    </xf>
    <xf numFmtId="0" fontId="26" fillId="0" borderId="3" xfId="0" applyFont="1" applyBorder="1" applyAlignment="1">
      <alignment horizontal="center" vertical="center" wrapText="1"/>
    </xf>
    <xf numFmtId="0" fontId="3" fillId="0" borderId="0" xfId="0" applyFont="1"/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0" fillId="0" borderId="0" xfId="0"/>
    <xf numFmtId="0" fontId="5" fillId="0" borderId="3" xfId="0" applyFont="1" applyBorder="1" applyAlignment="1">
      <alignment horizontal="left" vertical="center" wrapText="1" indent="1"/>
    </xf>
    <xf numFmtId="0" fontId="11" fillId="0" borderId="5" xfId="0" applyFont="1" applyBorder="1"/>
    <xf numFmtId="0" fontId="5" fillId="0" borderId="3" xfId="0" applyFont="1" applyBorder="1" applyAlignment="1">
      <alignment horizontal="left" vertical="center" wrapText="1"/>
    </xf>
    <xf numFmtId="164" fontId="24" fillId="7" borderId="7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/>
    </xf>
    <xf numFmtId="0" fontId="0" fillId="0" borderId="1" xfId="0" applyBorder="1"/>
    <xf numFmtId="0" fontId="13" fillId="0" borderId="0" xfId="0" applyFont="1" applyAlignment="1">
      <alignment horizontal="right" vertical="center"/>
    </xf>
    <xf numFmtId="0" fontId="12" fillId="9" borderId="2" xfId="0" applyFont="1" applyFill="1" applyBorder="1" applyAlignment="1">
      <alignment horizontal="center" vertical="center" wrapText="1"/>
    </xf>
    <xf numFmtId="164" fontId="23" fillId="0" borderId="3" xfId="0" applyNumberFormat="1" applyFont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top" wrapText="1"/>
    </xf>
    <xf numFmtId="0" fontId="14" fillId="10" borderId="2" xfId="0" applyFont="1" applyFill="1" applyBorder="1" applyAlignment="1">
      <alignment horizontal="left" vertical="center" wrapText="1"/>
    </xf>
    <xf numFmtId="0" fontId="8" fillId="0" borderId="0" xfId="0" applyFont="1"/>
    <xf numFmtId="0" fontId="14" fillId="8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 indent="1"/>
    </xf>
    <xf numFmtId="0" fontId="12" fillId="7" borderId="2" xfId="0" applyFont="1" applyFill="1" applyBorder="1" applyAlignment="1">
      <alignment horizontal="center" vertical="center" wrapText="1"/>
    </xf>
    <xf numFmtId="3" fontId="17" fillId="7" borderId="2" xfId="0" applyNumberFormat="1" applyFont="1" applyFill="1" applyBorder="1" applyAlignment="1">
      <alignment horizontal="center" vertical="center" wrapText="1"/>
    </xf>
    <xf numFmtId="3" fontId="18" fillId="9" borderId="2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2">
    <dxf>
      <font>
        <b/>
        <sz val="9"/>
        <color rgb="FFD92D20"/>
        <name val="Segoe UI"/>
      </font>
      <fill>
        <patternFill patternType="solid">
          <fgColor rgb="FFFDECEA"/>
        </patternFill>
      </fill>
    </dxf>
    <dxf>
      <font>
        <b/>
        <sz val="9"/>
        <color rgb="FFD92D20"/>
        <name val="Segoe UI"/>
      </font>
      <fill>
        <patternFill patternType="solid">
          <fgColor rgb="FFFDECE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0B2A5B"/>
                </a:solidFill>
                <a:latin typeface="Segoe UI"/>
              </a:defRPr>
            </a:pPr>
            <a:r>
              <a:rPr lang="es-CL" sz="1100" b="1">
                <a:solidFill>
                  <a:srgbClr val="0B2A5B"/>
                </a:solidFill>
                <a:latin typeface="Segoe UI"/>
              </a:rPr>
              <a:t>Enrolamientos por cuartel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'Vista Cuarteles'!$C$4</c:f>
              <c:strCache>
                <c:ptCount val="1"/>
                <c:pt idx="0">
                  <c:v>Total Enrolados</c:v>
                </c:pt>
              </c:strCache>
            </c:strRef>
          </c:tx>
          <c:spPr>
            <a:solidFill>
              <a:srgbClr val="0B2A5B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B2A5B"/>
                    </a:solidFill>
                    <a:latin typeface="Segoe U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'Vista Cuarteles'!$A$5:$A$6</c:f>
              <c:strCache>
                <c:ptCount val="2"/>
                <c:pt idx="0">
                  <c:v>ANGAMOS</c:v>
                </c:pt>
                <c:pt idx="1">
                  <c:v>CUYA</c:v>
                </c:pt>
              </c:strCache>
            </c:strRef>
          </c:cat>
          <c:val>
            <c:numRef>
              <c:f>'Vista Cuarteles'!$C$5:$C$6</c:f>
              <c:numCache>
                <c:formatCode>#,##0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EC-498A-BE9E-3170C5470CB1}"/>
            </c:ext>
          </c:extLst>
        </c:ser>
        <c:ser>
          <c:idx val="1"/>
          <c:order val="1"/>
          <c:tx>
            <c:strRef>
              <c:f>'Vista Cuarteles'!$D$4</c:f>
              <c:strCache>
                <c:ptCount val="1"/>
                <c:pt idx="0">
                  <c:v>Sincronizados PDI</c:v>
                </c:pt>
              </c:strCache>
            </c:strRef>
          </c:tx>
          <c:spPr>
            <a:solidFill>
              <a:srgbClr val="0F766E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F766E"/>
                    </a:solidFill>
                    <a:latin typeface="Segoe U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'Vista Cuarteles'!$A$5:$A$6</c:f>
              <c:strCache>
                <c:ptCount val="2"/>
                <c:pt idx="0">
                  <c:v>ANGAMOS</c:v>
                </c:pt>
                <c:pt idx="1">
                  <c:v>CUYA</c:v>
                </c:pt>
              </c:strCache>
            </c:strRef>
          </c:cat>
          <c:val>
            <c:numRef>
              <c:f>'Vista Cuarteles'!$D$5:$D$6</c:f>
              <c:numCache>
                <c:formatCode>#,##0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EC-498A-BE9E-3170C5470CB1}"/>
            </c:ext>
          </c:extLst>
        </c:ser>
        <c:ser>
          <c:idx val="2"/>
          <c:order val="2"/>
          <c:tx>
            <c:strRef>
              <c:f>'Vista Cuarteles'!$E$4</c:f>
              <c:strCache>
                <c:ptCount val="1"/>
                <c:pt idx="0">
                  <c:v>Con Inconsistencias</c:v>
                </c:pt>
              </c:strCache>
            </c:strRef>
          </c:tx>
          <c:spPr>
            <a:solidFill>
              <a:srgbClr val="D92D2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D92D20"/>
                    </a:solidFill>
                    <a:latin typeface="Segoe U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'Vista Cuarteles'!$A$5:$A$6</c:f>
              <c:strCache>
                <c:ptCount val="2"/>
                <c:pt idx="0">
                  <c:v>ANGAMOS</c:v>
                </c:pt>
                <c:pt idx="1">
                  <c:v>CUYA</c:v>
                </c:pt>
              </c:strCache>
            </c:strRef>
          </c:cat>
          <c:val>
            <c:numRef>
              <c:f>'Vista Cuarteles'!$E$5:$E$6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EC-498A-BE9E-3170C5470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8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CBD5E1"/>
            </a:solidFill>
            <a:prstDash val="solid"/>
          </a:ln>
        </c:spPr>
        <c:txPr>
          <a:bodyPr/>
          <a:lstStyle/>
          <a:p>
            <a:pPr>
              <a:defRPr sz="900" b="1">
                <a:solidFill>
                  <a:srgbClr val="1E293B"/>
                </a:solidFill>
                <a:latin typeface="Segoe UI"/>
              </a:defRPr>
            </a:pPr>
            <a:endParaRPr lang="es-CL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  <c:txPr>
        <a:bodyPr/>
        <a:lstStyle/>
        <a:p>
          <a:pPr>
            <a:defRPr sz="900" b="0">
              <a:solidFill>
                <a:srgbClr val="475569"/>
              </a:solidFill>
              <a:latin typeface="Segoe UI"/>
            </a:defRPr>
          </a:pPr>
          <a:endParaRPr lang="es-CL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0B2A5B"/>
                </a:solidFill>
                <a:latin typeface="Segoe UI"/>
              </a:defRPr>
            </a:pPr>
            <a:r>
              <a:rPr lang="es-CL" sz="1100" b="1">
                <a:solidFill>
                  <a:srgbClr val="0B2A5B"/>
                </a:solidFill>
                <a:latin typeface="Segoe UI"/>
              </a:rPr>
              <a:t>Enrolados por nacionalidad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'Vista Nacionalidades'!$C$4</c:f>
              <c:strCache>
                <c:ptCount val="1"/>
                <c:pt idx="0">
                  <c:v>Total Enrolamientos</c:v>
                </c:pt>
              </c:strCache>
            </c:strRef>
          </c:tx>
          <c:spPr>
            <a:solidFill>
              <a:srgbClr val="2B5FAE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2B5FAE"/>
                    </a:solidFill>
                    <a:latin typeface="Segoe U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'Vista Nacionalidades'!$A$5:$A$6</c:f>
              <c:strCache>
                <c:ptCount val="2"/>
                <c:pt idx="0">
                  <c:v>PERÚ</c:v>
                </c:pt>
                <c:pt idx="1">
                  <c:v>VENEZUELA</c:v>
                </c:pt>
              </c:strCache>
            </c:strRef>
          </c:cat>
          <c:val>
            <c:numRef>
              <c:f>'Vista Nacionalidades'!$C$5:$C$6</c:f>
              <c:numCache>
                <c:formatCode>#,##0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9E-45E1-B132-DFFE9BDE9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CBD5E1"/>
            </a:solidFill>
            <a:prstDash val="solid"/>
          </a:ln>
        </c:spPr>
        <c:txPr>
          <a:bodyPr/>
          <a:lstStyle/>
          <a:p>
            <a:pPr>
              <a:defRPr sz="900" b="1">
                <a:solidFill>
                  <a:srgbClr val="1E293B"/>
                </a:solidFill>
                <a:latin typeface="Segoe UI"/>
              </a:defRPr>
            </a:pPr>
            <a:endParaRPr lang="es-CL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24</xdr:row>
      <xdr:rowOff>0</xdr:rowOff>
    </xdr:from>
    <xdr:ext cx="7128000" cy="2664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47</xdr:row>
      <xdr:rowOff>0</xdr:rowOff>
    </xdr:from>
    <xdr:ext cx="7128000" cy="21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1</xdr:row>
      <xdr:rowOff>0</xdr:rowOff>
    </xdr:from>
    <xdr:ext cx="952500" cy="7715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2A5B"/>
    <pageSetUpPr fitToPage="1"/>
  </sheetPr>
  <dimension ref="B1:G68"/>
  <sheetViews>
    <sheetView showGridLines="0" tabSelected="1" topLeftCell="A10" workbookViewId="0"/>
  </sheetViews>
  <sheetFormatPr baseColWidth="10" defaultColWidth="9.140625" defaultRowHeight="15" x14ac:dyDescent="0.25"/>
  <cols>
    <col min="1" max="1" width="2.42578125" customWidth="1"/>
    <col min="2" max="3" width="26" customWidth="1"/>
    <col min="4" max="7" width="13" customWidth="1"/>
    <col min="8" max="8" width="2.42578125" customWidth="1"/>
  </cols>
  <sheetData>
    <row r="1" spans="2:7" ht="8.1" customHeight="1" x14ac:dyDescent="0.25"/>
    <row r="2" spans="2:7" ht="21.95" customHeight="1" x14ac:dyDescent="0.25">
      <c r="C2" s="51" t="s">
        <v>0</v>
      </c>
      <c r="D2" s="38"/>
      <c r="E2" s="38"/>
      <c r="F2" s="38"/>
      <c r="G2" s="38"/>
    </row>
    <row r="3" spans="2:7" ht="32.1" customHeight="1" x14ac:dyDescent="0.25">
      <c r="C3" s="57" t="s">
        <v>1</v>
      </c>
      <c r="D3" s="38"/>
      <c r="E3" s="38"/>
      <c r="F3" s="38"/>
      <c r="G3" s="38"/>
    </row>
    <row r="4" spans="2:7" ht="20.100000000000001" customHeight="1" x14ac:dyDescent="0.25">
      <c r="B4" s="1"/>
      <c r="C4" s="43" t="s">
        <v>2</v>
      </c>
      <c r="D4" s="44"/>
      <c r="E4" s="44"/>
      <c r="F4" s="44"/>
      <c r="G4" s="44"/>
    </row>
    <row r="5" spans="2:7" ht="9.9499999999999993" customHeight="1" x14ac:dyDescent="0.25"/>
    <row r="6" spans="2:7" ht="21" customHeight="1" x14ac:dyDescent="0.25">
      <c r="B6" s="2" t="s">
        <v>3</v>
      </c>
      <c r="C6" s="39" t="s">
        <v>4</v>
      </c>
      <c r="D6" s="38"/>
      <c r="E6" s="38"/>
      <c r="F6" s="38"/>
      <c r="G6" s="38"/>
    </row>
    <row r="7" spans="2:7" ht="21" customHeight="1" x14ac:dyDescent="0.25">
      <c r="B7" s="2" t="s">
        <v>5</v>
      </c>
      <c r="C7" s="39" t="s">
        <v>6</v>
      </c>
      <c r="D7" s="38"/>
      <c r="E7" s="38"/>
      <c r="F7" s="38"/>
      <c r="G7" s="38"/>
    </row>
    <row r="8" spans="2:7" ht="21" customHeight="1" x14ac:dyDescent="0.25">
      <c r="B8" s="2" t="s">
        <v>7</v>
      </c>
      <c r="C8" s="53" t="s">
        <v>8</v>
      </c>
      <c r="D8" s="38"/>
      <c r="E8" s="38"/>
      <c r="F8" s="38"/>
      <c r="G8" s="38"/>
    </row>
    <row r="9" spans="2:7" ht="14.1" customHeight="1" x14ac:dyDescent="0.25"/>
    <row r="10" spans="2:7" ht="24" customHeight="1" x14ac:dyDescent="0.3">
      <c r="B10" s="40" t="s">
        <v>9</v>
      </c>
      <c r="C10" s="38"/>
      <c r="D10" s="38"/>
      <c r="E10" s="38"/>
      <c r="F10" s="38"/>
      <c r="G10" s="38"/>
    </row>
    <row r="11" spans="2:7" ht="18" customHeight="1" x14ac:dyDescent="0.25">
      <c r="B11" s="37" t="s">
        <v>10</v>
      </c>
      <c r="C11" s="38"/>
      <c r="D11" s="38"/>
      <c r="E11" s="45" t="s">
        <v>11</v>
      </c>
      <c r="F11" s="38"/>
      <c r="G11" s="38"/>
    </row>
    <row r="12" spans="2:7" ht="6" customHeight="1" x14ac:dyDescent="0.25"/>
    <row r="13" spans="2:7" ht="24" customHeight="1" x14ac:dyDescent="0.25">
      <c r="B13" s="3" t="s">
        <v>12</v>
      </c>
      <c r="C13" s="4" t="s">
        <v>13</v>
      </c>
      <c r="D13" s="48" t="s">
        <v>14</v>
      </c>
      <c r="E13" s="38"/>
      <c r="F13" s="52" t="s">
        <v>15</v>
      </c>
      <c r="G13" s="38"/>
    </row>
    <row r="14" spans="2:7" ht="44.1" customHeight="1" x14ac:dyDescent="0.25">
      <c r="B14" s="6">
        <f>D23</f>
        <v>3</v>
      </c>
      <c r="C14" s="7">
        <f>E23</f>
        <v>3</v>
      </c>
      <c r="D14" s="55">
        <f>D23-F23</f>
        <v>3</v>
      </c>
      <c r="E14" s="38"/>
      <c r="F14" s="56">
        <f>F23</f>
        <v>0</v>
      </c>
      <c r="G14" s="38"/>
    </row>
    <row r="15" spans="2:7" ht="20.100000000000001" customHeight="1" x14ac:dyDescent="0.25">
      <c r="B15" s="8" t="s">
        <v>16</v>
      </c>
      <c r="C15" s="9" t="str">
        <f>TEXT(IF(D23&gt;0,E23/D23,0),"0%")&amp;" de efectividad"</f>
        <v>100% de efectividad</v>
      </c>
      <c r="D15" s="54" t="str">
        <f>TEXT(IF(D23&gt;0,(D23-F23)/D23,0),"0%")&amp;" de captura válida"</f>
        <v>100% de captura válida</v>
      </c>
      <c r="E15" s="38"/>
      <c r="F15" s="46" t="str">
        <f>TEXT(IF(D23&gt;0,F23/D23,0),"0%")&amp;" de tasa de error"</f>
        <v>0% de tasa de error</v>
      </c>
      <c r="G15" s="38"/>
    </row>
    <row r="16" spans="2:7" ht="15.95" customHeight="1" x14ac:dyDescent="0.25"/>
    <row r="17" spans="2:7" ht="24" customHeight="1" x14ac:dyDescent="0.3">
      <c r="B17" s="40" t="s">
        <v>17</v>
      </c>
      <c r="C17" s="38"/>
      <c r="D17" s="38"/>
      <c r="E17" s="38"/>
      <c r="F17" s="38"/>
      <c r="G17" s="38"/>
    </row>
    <row r="18" spans="2:7" ht="18" customHeight="1" x14ac:dyDescent="0.25">
      <c r="B18" s="37" t="s">
        <v>18</v>
      </c>
      <c r="C18" s="38"/>
      <c r="D18" s="38"/>
      <c r="E18" s="45" t="s">
        <v>11</v>
      </c>
      <c r="F18" s="38"/>
      <c r="G18" s="38"/>
    </row>
    <row r="19" spans="2:7" ht="6" customHeight="1" x14ac:dyDescent="0.25"/>
    <row r="20" spans="2:7" ht="32.1" customHeight="1" x14ac:dyDescent="0.25">
      <c r="B20" s="10" t="s">
        <v>19</v>
      </c>
      <c r="C20" s="10" t="s">
        <v>20</v>
      </c>
      <c r="D20" s="4" t="s">
        <v>21</v>
      </c>
      <c r="E20" s="4" t="s">
        <v>13</v>
      </c>
      <c r="F20" s="4" t="s">
        <v>22</v>
      </c>
      <c r="G20" s="4" t="s">
        <v>23</v>
      </c>
    </row>
    <row r="21" spans="2:7" ht="21.95" customHeight="1" x14ac:dyDescent="0.25">
      <c r="B21" s="11" t="str">
        <f>'Vista Cuarteles'!A5</f>
        <v>ANGAMOS</v>
      </c>
      <c r="C21" s="11" t="str">
        <f>'Vista Cuarteles'!B5</f>
        <v>PREPOLIN ARICA</v>
      </c>
      <c r="D21" s="12">
        <f>'Vista Cuarteles'!C5</f>
        <v>2</v>
      </c>
      <c r="E21" s="13">
        <f>'Vista Cuarteles'!D5</f>
        <v>2</v>
      </c>
      <c r="F21" s="13">
        <f>'Vista Cuarteles'!E5</f>
        <v>0</v>
      </c>
      <c r="G21" s="14">
        <f>'Vista Cuarteles'!F5</f>
        <v>1</v>
      </c>
    </row>
    <row r="22" spans="2:7" ht="21.95" customHeight="1" x14ac:dyDescent="0.25">
      <c r="B22" s="11" t="str">
        <f>'Vista Cuarteles'!A6</f>
        <v>CUYA</v>
      </c>
      <c r="C22" s="11" t="str">
        <f>'Vista Cuarteles'!B6</f>
        <v>PREPOLIN ARICA</v>
      </c>
      <c r="D22" s="12">
        <f>'Vista Cuarteles'!C6</f>
        <v>1</v>
      </c>
      <c r="E22" s="13">
        <f>'Vista Cuarteles'!D6</f>
        <v>1</v>
      </c>
      <c r="F22" s="13">
        <f>'Vista Cuarteles'!E6</f>
        <v>0</v>
      </c>
      <c r="G22" s="14">
        <f>'Vista Cuarteles'!F6</f>
        <v>1</v>
      </c>
    </row>
    <row r="23" spans="2:7" ht="24" customHeight="1" x14ac:dyDescent="0.25">
      <c r="B23" s="15" t="s">
        <v>24</v>
      </c>
      <c r="C23" s="16" t="str">
        <f>COUNTA(B21:B22)&amp;" cuarteles operativos"</f>
        <v>2 cuarteles operativos</v>
      </c>
      <c r="D23" s="17">
        <f>SUM(D21:D22)</f>
        <v>3</v>
      </c>
      <c r="E23" s="18">
        <f>SUM(E21:E22)</f>
        <v>3</v>
      </c>
      <c r="F23" s="19">
        <f>SUM(F21:F22)</f>
        <v>0</v>
      </c>
      <c r="G23" s="20">
        <f>IF(D23&gt;0,E23/D23,0)</f>
        <v>1</v>
      </c>
    </row>
    <row r="24" spans="2:7" ht="8.1" customHeight="1" x14ac:dyDescent="0.25"/>
    <row r="25" spans="2:7" ht="15" customHeight="1" x14ac:dyDescent="0.25"/>
    <row r="26" spans="2:7" ht="15" customHeight="1" x14ac:dyDescent="0.25"/>
    <row r="27" spans="2:7" ht="15" customHeight="1" x14ac:dyDescent="0.25"/>
    <row r="28" spans="2:7" ht="15" customHeight="1" x14ac:dyDescent="0.25"/>
    <row r="29" spans="2:7" ht="15" customHeight="1" x14ac:dyDescent="0.25"/>
    <row r="30" spans="2:7" ht="15" customHeight="1" x14ac:dyDescent="0.25"/>
    <row r="31" spans="2:7" ht="15" customHeight="1" x14ac:dyDescent="0.25"/>
    <row r="32" spans="2:7" ht="15" customHeight="1" x14ac:dyDescent="0.25"/>
    <row r="33" spans="2:7" ht="15" customHeight="1" x14ac:dyDescent="0.25"/>
    <row r="34" spans="2:7" ht="15" customHeight="1" x14ac:dyDescent="0.25"/>
    <row r="35" spans="2:7" ht="15" customHeight="1" x14ac:dyDescent="0.25"/>
    <row r="36" spans="2:7" ht="15" customHeight="1" x14ac:dyDescent="0.25"/>
    <row r="37" spans="2:7" ht="15" customHeight="1" x14ac:dyDescent="0.25"/>
    <row r="38" spans="2:7" ht="15" customHeight="1" x14ac:dyDescent="0.25"/>
    <row r="39" spans="2:7" ht="14.1" customHeight="1" x14ac:dyDescent="0.25"/>
    <row r="40" spans="2:7" ht="24" customHeight="1" x14ac:dyDescent="0.3">
      <c r="B40" s="40" t="s">
        <v>25</v>
      </c>
      <c r="C40" s="38"/>
      <c r="D40" s="38"/>
      <c r="E40" s="38"/>
      <c r="F40" s="38"/>
      <c r="G40" s="38"/>
    </row>
    <row r="41" spans="2:7" ht="18" customHeight="1" x14ac:dyDescent="0.25">
      <c r="B41" s="37" t="s">
        <v>26</v>
      </c>
      <c r="C41" s="38"/>
      <c r="D41" s="38"/>
      <c r="E41" s="45" t="s">
        <v>27</v>
      </c>
      <c r="F41" s="38"/>
      <c r="G41" s="38"/>
    </row>
    <row r="42" spans="2:7" ht="6" customHeight="1" x14ac:dyDescent="0.25"/>
    <row r="43" spans="2:7" ht="32.1" customHeight="1" x14ac:dyDescent="0.25">
      <c r="B43" s="21" t="s">
        <v>28</v>
      </c>
      <c r="C43" s="5" t="s">
        <v>29</v>
      </c>
      <c r="D43" s="5" t="s">
        <v>12</v>
      </c>
      <c r="E43" s="48" t="s">
        <v>30</v>
      </c>
      <c r="F43" s="38"/>
      <c r="G43" s="38"/>
    </row>
    <row r="44" spans="2:7" ht="21.95" customHeight="1" x14ac:dyDescent="0.25">
      <c r="B44" s="11" t="str">
        <f>'Vista Nacionalidades'!A5</f>
        <v>PERÚ</v>
      </c>
      <c r="C44" s="22" t="str">
        <f>'Vista Nacionalidades'!B5</f>
        <v>PER</v>
      </c>
      <c r="D44" s="12">
        <f>'Vista Nacionalidades'!C5</f>
        <v>2</v>
      </c>
      <c r="E44" s="47">
        <f>'Vista Nacionalidades'!D5</f>
        <v>0.66666666666666663</v>
      </c>
      <c r="F44" s="38"/>
      <c r="G44" s="38"/>
    </row>
    <row r="45" spans="2:7" ht="21.95" customHeight="1" x14ac:dyDescent="0.25">
      <c r="B45" s="11" t="str">
        <f>'Vista Nacionalidades'!A6</f>
        <v>VENEZUELA</v>
      </c>
      <c r="C45" s="22" t="str">
        <f>'Vista Nacionalidades'!B6</f>
        <v>VEN</v>
      </c>
      <c r="D45" s="12">
        <f>'Vista Nacionalidades'!C6</f>
        <v>1</v>
      </c>
      <c r="E45" s="47">
        <f>'Vista Nacionalidades'!D6</f>
        <v>0.33333333333333331</v>
      </c>
      <c r="F45" s="38"/>
      <c r="G45" s="38"/>
    </row>
    <row r="46" spans="2:7" ht="24" customHeight="1" x14ac:dyDescent="0.25">
      <c r="B46" s="23" t="s">
        <v>24</v>
      </c>
      <c r="C46" s="24"/>
      <c r="D46" s="25">
        <f>SUM(D44:D45)</f>
        <v>3</v>
      </c>
      <c r="E46" s="42">
        <f>SUM(E44:E45)</f>
        <v>1</v>
      </c>
      <c r="F46" s="38"/>
      <c r="G46" s="38"/>
    </row>
    <row r="47" spans="2:7" ht="8.1" customHeight="1" x14ac:dyDescent="0.25"/>
    <row r="48" spans="2:7" ht="15" customHeight="1" x14ac:dyDescent="0.25"/>
    <row r="49" spans="2:7" ht="15" customHeight="1" x14ac:dyDescent="0.25"/>
    <row r="50" spans="2:7" ht="15" customHeight="1" x14ac:dyDescent="0.25"/>
    <row r="51" spans="2:7" ht="15" customHeight="1" x14ac:dyDescent="0.25"/>
    <row r="52" spans="2:7" ht="15" customHeight="1" x14ac:dyDescent="0.25"/>
    <row r="53" spans="2:7" ht="15" customHeight="1" x14ac:dyDescent="0.25"/>
    <row r="54" spans="2:7" ht="15" customHeight="1" x14ac:dyDescent="0.25"/>
    <row r="55" spans="2:7" ht="15" customHeight="1" x14ac:dyDescent="0.25"/>
    <row r="56" spans="2:7" ht="15" customHeight="1" x14ac:dyDescent="0.25"/>
    <row r="57" spans="2:7" ht="15" customHeight="1" x14ac:dyDescent="0.25"/>
    <row r="58" spans="2:7" ht="15" customHeight="1" x14ac:dyDescent="0.25"/>
    <row r="59" spans="2:7" ht="15" customHeight="1" x14ac:dyDescent="0.25"/>
    <row r="60" spans="2:7" ht="14.1" customHeight="1" x14ac:dyDescent="0.25"/>
    <row r="61" spans="2:7" ht="24" customHeight="1" x14ac:dyDescent="0.3">
      <c r="B61" s="40" t="s">
        <v>31</v>
      </c>
      <c r="C61" s="38"/>
      <c r="D61" s="38"/>
      <c r="E61" s="38"/>
      <c r="F61" s="38"/>
      <c r="G61" s="38"/>
    </row>
    <row r="62" spans="2:7" ht="18" customHeight="1" x14ac:dyDescent="0.25">
      <c r="B62" s="37" t="s">
        <v>32</v>
      </c>
      <c r="C62" s="38"/>
      <c r="D62" s="38"/>
    </row>
    <row r="63" spans="2:7" ht="6" customHeight="1" x14ac:dyDescent="0.25"/>
    <row r="64" spans="2:7" ht="24" customHeight="1" x14ac:dyDescent="0.25">
      <c r="B64" s="26" t="s">
        <v>33</v>
      </c>
      <c r="C64" s="50" t="s">
        <v>34</v>
      </c>
      <c r="D64" s="38"/>
      <c r="E64" s="38"/>
      <c r="F64" s="38"/>
      <c r="G64" s="27" t="s">
        <v>35</v>
      </c>
    </row>
    <row r="65" spans="2:7" ht="30" customHeight="1" x14ac:dyDescent="0.25">
      <c r="B65" s="28" t="s">
        <v>36</v>
      </c>
      <c r="C65" s="41" t="s">
        <v>37</v>
      </c>
      <c r="D65" s="38"/>
      <c r="E65" s="38"/>
      <c r="F65" s="38"/>
      <c r="G65" s="29" t="s">
        <v>38</v>
      </c>
    </row>
    <row r="66" spans="2:7" ht="30" customHeight="1" x14ac:dyDescent="0.25">
      <c r="B66" s="28" t="s">
        <v>39</v>
      </c>
      <c r="C66" s="41" t="s">
        <v>40</v>
      </c>
      <c r="D66" s="38"/>
      <c r="E66" s="38"/>
      <c r="F66" s="38"/>
      <c r="G66" s="29" t="s">
        <v>38</v>
      </c>
    </row>
    <row r="67" spans="2:7" ht="12" customHeight="1" x14ac:dyDescent="0.25"/>
    <row r="68" spans="2:7" ht="27.95" customHeight="1" x14ac:dyDescent="0.25">
      <c r="B68" s="49" t="s">
        <v>41</v>
      </c>
      <c r="C68" s="38"/>
      <c r="D68" s="38"/>
      <c r="E68" s="38"/>
      <c r="F68" s="38"/>
      <c r="G68" s="38"/>
    </row>
  </sheetData>
  <mergeCells count="31">
    <mergeCell ref="C3:G3"/>
    <mergeCell ref="B68:G68"/>
    <mergeCell ref="E41:G41"/>
    <mergeCell ref="C64:F64"/>
    <mergeCell ref="B41:D41"/>
    <mergeCell ref="C2:G2"/>
    <mergeCell ref="E18:G18"/>
    <mergeCell ref="B62:D62"/>
    <mergeCell ref="F13:G13"/>
    <mergeCell ref="C65:F65"/>
    <mergeCell ref="E43:G43"/>
    <mergeCell ref="C8:G8"/>
    <mergeCell ref="C7:G7"/>
    <mergeCell ref="D15:E15"/>
    <mergeCell ref="B18:D18"/>
    <mergeCell ref="D14:E14"/>
    <mergeCell ref="F14:G14"/>
    <mergeCell ref="C4:G4"/>
    <mergeCell ref="B10:G10"/>
    <mergeCell ref="E11:G11"/>
    <mergeCell ref="F15:G15"/>
    <mergeCell ref="E45:G45"/>
    <mergeCell ref="D13:E13"/>
    <mergeCell ref="B40:G40"/>
    <mergeCell ref="E44:G44"/>
    <mergeCell ref="B11:D11"/>
    <mergeCell ref="C6:G6"/>
    <mergeCell ref="B17:G17"/>
    <mergeCell ref="B61:G61"/>
    <mergeCell ref="C66:F66"/>
    <mergeCell ref="E46:G46"/>
  </mergeCells>
  <conditionalFormatting sqref="E44:E45">
    <cfRule type="dataBar" priority="3">
      <dataBar>
        <cfvo type="num" val="0"/>
        <cfvo type="num" val="1"/>
        <color rgb="FF8DADDB"/>
      </dataBar>
    </cfRule>
  </conditionalFormatting>
  <conditionalFormatting sqref="F21:F22">
    <cfRule type="cellIs" dxfId="1" priority="2" operator="greaterThan">
      <formula>0</formula>
    </cfRule>
  </conditionalFormatting>
  <conditionalFormatting sqref="G21:G22">
    <cfRule type="dataBar" priority="1">
      <dataBar>
        <cfvo type="num" val="0"/>
        <cfvo type="num" val="1"/>
        <color rgb="FF5EAEA3"/>
      </dataBar>
    </cfRule>
  </conditionalFormatting>
  <hyperlinks>
    <hyperlink ref="E11" location="'Vista Cuarteles'!A1" tooltip="Ir a Vista Cuarteles" display="Fuente: Vista Cuarteles  ›" xr:uid="{00000000-0004-0000-0000-000000000000}"/>
    <hyperlink ref="E18" location="'Vista Cuarteles'!A1" tooltip="Ir a Vista Cuarteles" display="Fuente: Vista Cuarteles  ›" xr:uid="{00000000-0004-0000-0000-000001000000}"/>
    <hyperlink ref="E41" location="'Vista Nacionalidades'!A1" tooltip="Ir a Vista Nacionalidades" display="Fuente: Vista Nacionalidades  ›" xr:uid="{00000000-0004-0000-0000-000002000000}"/>
    <hyperlink ref="B65" location="'Vista Cuarteles'!A1" tooltip="Ir a Vista Cuarteles" display="Vista Cuarteles" xr:uid="{00000000-0004-0000-0000-000003000000}"/>
    <hyperlink ref="B66" location="'Vista Nacionalidades'!A1" tooltip="Ir a Vista Nacionalidades" display="Vista Nacionalidades" xr:uid="{00000000-0004-0000-0000-000004000000}"/>
  </hyperlinks>
  <printOptions horizontalCentered="1"/>
  <pageMargins left="0.5" right="0.5" top="0.5" bottom="0.5" header="0.5" footer="0.5"/>
  <pageSetup fitToHeight="0" orientation="portrait"/>
  <headerFooter>
    <oddFooter>&amp;C&amp;7 &amp;K64748BPDI • SISTEMA ABIS  |  USO OFICIAL RESERVADO  |  Página &amp;P de &amp;N</oddFooter>
  </headerFooter>
  <rowBreaks count="1" manualBreakCount="1">
    <brk id="39" max="16383" man="1"/>
  </rowBreaks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766E"/>
    <pageSetUpPr fitToPage="1"/>
  </sheetPr>
  <dimension ref="A1:F6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4" customWidth="1"/>
    <col min="3" max="3" width="16" customWidth="1"/>
    <col min="4" max="5" width="18" customWidth="1"/>
    <col min="6" max="6" width="16" customWidth="1"/>
  </cols>
  <sheetData>
    <row r="1" spans="1:6" ht="27.95" customHeight="1" x14ac:dyDescent="0.25">
      <c r="A1" s="59" t="s">
        <v>36</v>
      </c>
      <c r="B1" s="38"/>
      <c r="C1" s="38"/>
      <c r="D1" s="38"/>
      <c r="E1" s="38"/>
      <c r="F1" s="38"/>
    </row>
    <row r="2" spans="1:6" ht="30" customHeight="1" x14ac:dyDescent="0.25">
      <c r="A2" s="58" t="s">
        <v>42</v>
      </c>
      <c r="B2" s="38"/>
      <c r="C2" s="38"/>
      <c r="D2" s="38"/>
      <c r="E2" s="38"/>
      <c r="F2" s="38"/>
    </row>
    <row r="3" spans="1:6" x14ac:dyDescent="0.25">
      <c r="A3" s="30" t="s">
        <v>43</v>
      </c>
    </row>
    <row r="4" spans="1:6" ht="30" customHeight="1" x14ac:dyDescent="0.25">
      <c r="A4" s="31" t="s">
        <v>44</v>
      </c>
      <c r="B4" s="31" t="s">
        <v>45</v>
      </c>
      <c r="C4" s="32" t="s">
        <v>46</v>
      </c>
      <c r="D4" s="32" t="s">
        <v>47</v>
      </c>
      <c r="E4" s="32" t="s">
        <v>48</v>
      </c>
      <c r="F4" s="32" t="s">
        <v>49</v>
      </c>
    </row>
    <row r="5" spans="1:6" ht="21.95" customHeight="1" x14ac:dyDescent="0.25">
      <c r="A5" s="11" t="s">
        <v>50</v>
      </c>
      <c r="B5" s="11" t="s">
        <v>51</v>
      </c>
      <c r="C5" s="12">
        <v>2</v>
      </c>
      <c r="D5" s="13">
        <v>2</v>
      </c>
      <c r="E5" s="13">
        <v>0</v>
      </c>
      <c r="F5" s="14">
        <f>IF(C5&gt;0,D5/C5,0)</f>
        <v>1</v>
      </c>
    </row>
    <row r="6" spans="1:6" ht="21.95" customHeight="1" x14ac:dyDescent="0.25">
      <c r="A6" s="11" t="s">
        <v>52</v>
      </c>
      <c r="B6" s="11" t="s">
        <v>51</v>
      </c>
      <c r="C6" s="12">
        <v>1</v>
      </c>
      <c r="D6" s="13">
        <v>1</v>
      </c>
      <c r="E6" s="13">
        <v>0</v>
      </c>
      <c r="F6" s="14">
        <f>IF(C6&gt;0,D6/C6,0)</f>
        <v>1</v>
      </c>
    </row>
  </sheetData>
  <mergeCells count="2">
    <mergeCell ref="A2:F2"/>
    <mergeCell ref="A1:F1"/>
  </mergeCells>
  <conditionalFormatting sqref="E5:E6">
    <cfRule type="cellIs" dxfId="0" priority="2" operator="greaterThan">
      <formula>0</formula>
    </cfRule>
  </conditionalFormatting>
  <conditionalFormatting sqref="F5:F6">
    <cfRule type="dataBar" priority="1">
      <dataBar>
        <cfvo type="num" val="0"/>
        <cfvo type="num" val="1"/>
        <color rgb="FF5EAEA3"/>
      </dataBar>
    </cfRule>
  </conditionalFormatting>
  <hyperlinks>
    <hyperlink ref="A3" location="'Informe ABIS'!A1" tooltip="Ir al informe" display="← Volver al informe" xr:uid="{00000000-0004-0000-0100-000000000000}"/>
  </hyperlink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B5FAE"/>
    <pageSetUpPr fitToPage="1"/>
  </sheetPr>
  <dimension ref="A1:D6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16" customWidth="1"/>
    <col min="3" max="3" width="22" customWidth="1"/>
    <col min="4" max="4" width="18" customWidth="1"/>
  </cols>
  <sheetData>
    <row r="1" spans="1:4" ht="27.95" customHeight="1" x14ac:dyDescent="0.25">
      <c r="A1" s="59" t="s">
        <v>39</v>
      </c>
      <c r="B1" s="38"/>
      <c r="C1" s="38"/>
      <c r="D1" s="38"/>
    </row>
    <row r="2" spans="1:4" ht="30" customHeight="1" x14ac:dyDescent="0.25">
      <c r="A2" s="58" t="s">
        <v>53</v>
      </c>
      <c r="B2" s="38"/>
      <c r="C2" s="38"/>
      <c r="D2" s="38"/>
    </row>
    <row r="3" spans="1:4" x14ac:dyDescent="0.25">
      <c r="A3" s="33" t="s">
        <v>43</v>
      </c>
    </row>
    <row r="4" spans="1:4" ht="30" customHeight="1" x14ac:dyDescent="0.25">
      <c r="A4" s="34" t="s">
        <v>54</v>
      </c>
      <c r="B4" s="34" t="s">
        <v>55</v>
      </c>
      <c r="C4" s="35" t="s">
        <v>56</v>
      </c>
      <c r="D4" s="35" t="s">
        <v>57</v>
      </c>
    </row>
    <row r="5" spans="1:4" ht="21.95" customHeight="1" x14ac:dyDescent="0.25">
      <c r="A5" s="11" t="s">
        <v>58</v>
      </c>
      <c r="B5" s="22" t="s">
        <v>59</v>
      </c>
      <c r="C5" s="12">
        <v>2</v>
      </c>
      <c r="D5" s="36">
        <f>IF(SUM($C$5:$C$6)&gt;0,C5/SUM($C$5:$C$6),0)</f>
        <v>0.66666666666666663</v>
      </c>
    </row>
    <row r="6" spans="1:4" ht="21.95" customHeight="1" x14ac:dyDescent="0.25">
      <c r="A6" s="11" t="s">
        <v>60</v>
      </c>
      <c r="B6" s="22" t="s">
        <v>61</v>
      </c>
      <c r="C6" s="12">
        <v>1</v>
      </c>
      <c r="D6" s="36">
        <f>IF(SUM($C$5:$C$6)&gt;0,C6/SUM($C$5:$C$6),0)</f>
        <v>0.33333333333333331</v>
      </c>
    </row>
  </sheetData>
  <mergeCells count="2">
    <mergeCell ref="A1:D1"/>
    <mergeCell ref="A2:D2"/>
  </mergeCells>
  <conditionalFormatting sqref="D5:D6">
    <cfRule type="dataBar" priority="1">
      <dataBar>
        <cfvo type="num" val="0"/>
        <cfvo type="num" val="1"/>
        <color rgb="FF8DADDB"/>
      </dataBar>
    </cfRule>
  </conditionalFormatting>
  <hyperlinks>
    <hyperlink ref="A3" location="'Informe ABIS'!A1" tooltip="Ir al informe" display="← Volver al informe" xr:uid="{00000000-0004-0000-0200-000000000000}"/>
  </hyperlink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Informe ABIS</vt:lpstr>
      <vt:lpstr>Vista Cuarteles</vt:lpstr>
      <vt:lpstr>Vista Nacionalidades</vt:lpstr>
      <vt:lpstr>'Informe ABIS'!Área_de_impresión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PONCE</cp:lastModifiedBy>
  <dcterms:created xsi:type="dcterms:W3CDTF">2026-10-02T14:05:58Z</dcterms:created>
  <dcterms:modified xsi:type="dcterms:W3CDTF">2026-10-02T14:08:17Z</dcterms:modified>
</cp:coreProperties>
</file>