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Nicolás\Downloads\"/>
    </mc:Choice>
  </mc:AlternateContent>
  <xr:revisionPtr revIDLastSave="0" documentId="13_ncr:1_{7DF868C2-1A3E-4B40-ADD2-25B2FC62179E}" xr6:coauthVersionLast="47" xr6:coauthVersionMax="47" xr10:uidLastSave="{00000000-0000-0000-0000-000000000000}"/>
  <bookViews>
    <workbookView xWindow="-120" yWindow="-120" windowWidth="29040" windowHeight="15720" xr2:uid="{00000000-000D-0000-FFFF-FFFF00000000}" activeTab="0"/>
  </bookViews>
  <sheets>
    <sheet name="Informe ABIS" sheetId="1" r:id="rId1"/>
    <sheet name="Vista Cuarteles" sheetId="2" r:id="rId2"/>
    <sheet name="Vista Nacionalidades" sheetId="3" r:id="rId3"/>
    <sheet name="Vista Demografia" sheetId="4" r:id="rId8"/>
    <sheet name="Vista Profesiones" sheetId="5" r:id="rId9"/>
  </sheets>
  <definedNames>
    <definedName name="_xlnm.Print_Area" localSheetId="0">'Informe ABIS'!$A$1:$H$68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Informe ABIS</author>
  </authors>
  <commentList>
    <comment ref="D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Registros sin inconsistencias = Total enrolamientos − Con error.</t>
        </r>
      </text>
    </comment>
  </commentList>
</comments>
</file>

<file path=xl/sharedStrings.xml><?xml version="1.0" encoding="utf-8"?>
<sst xmlns="http://schemas.openxmlformats.org/spreadsheetml/2006/main">
  <si>
    <t>POLICÍA DE INVESTIGACIONES DE CHILE  |  JEFATURA NACIONAL DE MIGRACIONES Y POLICÍA INTERNACIONAL</t>
  </si>
  <si>
    <t>SISTEMA ABIS</t>
  </si>
  <si>
    <t>INFORME ESTADÍSTICO DE IDENTIFICACIÓN BIOMÉTRICA</t>
  </si>
  <si>
    <t>PERÍODO CONSULTADO</t>
  </si>
  <si>
    <t>2026-08-22</t>
  </si>
  <si>
    <t>FECHA DE EMISIÓN</t>
  </si>
  <si>
    <t>viernes, 2 de octubre de 2026, 10:59:52 a. m.</t>
  </si>
  <si>
    <t>CLASIFICACIÓN</t>
  </si>
  <si>
    <t>USO OFICIAL RESERVADO - PDI CHILE</t>
  </si>
  <si>
    <t>1. RESUMEN EJECUTIVO</t>
  </si>
  <si>
    <t>Consolidado del período seleccionado.</t>
  </si>
  <si>
    <t>Fuente: Vista Cuarteles  ›</t>
  </si>
  <si>
    <t>TOTAL ENROLAMIENTOS</t>
  </si>
  <si>
    <t>SINCRONIZADOS PDI</t>
  </si>
  <si>
    <t>REGISTRO BIOMÉTRICO VÁLIDO</t>
  </si>
  <si>
    <t>INCONSISTENCIAS / ERROR</t>
  </si>
  <si>
    <t>Registros biométricos</t>
  </si>
  <si>
    <t>2. RENDIMIENTO OPERATIVO POR PUESTO / CUARTEL</t>
  </si>
  <si>
    <t>Carga operativa y sincronización efectiva con los servicios centrales de la PDI.</t>
  </si>
  <si>
    <t>PUESTO / CUARTEL</t>
  </si>
  <si>
    <t>UNIDAD POLICIAL</t>
  </si>
  <si>
    <t>TOTAL ENROLADOS</t>
  </si>
  <si>
    <t>CON ERROR</t>
  </si>
  <si>
    <t>EFECTIVIDAD (%)</t>
  </si>
  <si>
    <t>TOTAL GENERAL</t>
  </si>
  <si>
    <t>3. ENROLADOS POR NACIONALIDAD</t>
  </si>
  <si>
    <t>Distribución de nacionalidades detectadas durante el período.</t>
  </si>
  <si>
    <t>Fuente: Vista Nacionalidades  ›</t>
  </si>
  <si>
    <t>PAÍS / NACIONALIDAD</t>
  </si>
  <si>
    <t>CÓDIGO ISO</t>
  </si>
  <si>
    <t>PROPORCIÓN (%)</t>
  </si>
  <si>
    <t>4. FUENTES DE DATOS</t>
  </si>
  <si>
    <t>Cada tarjeta, tabla y gráfico de este informe se calcula desde estas vistas. El Dashboard Web usa las mismas.</t>
  </si>
  <si>
    <t>VISTA (HOJA)</t>
  </si>
  <si>
    <t>ALIMENTA EN ESTE INFORME</t>
  </si>
  <si>
    <t>TAMBIÉN ALIMENTA</t>
  </si>
  <si>
    <t>Vista Cuarteles</t>
  </si>
  <si>
    <t>Sección 1 (tarjetas), sección 2 (tabla) y gráfico «Enrolamientos por cuartel»</t>
  </si>
  <si>
    <t>Dashboard Web</t>
  </si>
  <si>
    <t>Vista Nacionalidades</t>
  </si>
  <si>
    <t>Sección 3 (tabla) y gráfico «Enrolados por nacionalidad»</t>
  </si>
  <si>
    <t>Documento oficial generado automáticamente por el Sistema ABIS de la Policía de Investigaciones de Chile. Información protegida por la Ley N° 19.628. Prohibida su divulgación no autorizada.</t>
  </si>
  <si>
    <t>Fuente de datos del informe (secciones 1 y 2, tarjetas y gráfico) y del Dashboard Web. Si estos datos cambian, el informe se actualiza solo.</t>
  </si>
  <si>
    <t>← Volver al informe</t>
  </si>
  <si>
    <t>Puesto / Cuartel Fronterizo</t>
  </si>
  <si>
    <t>Unidad Policial</t>
  </si>
  <si>
    <t>Total Enrolados</t>
  </si>
  <si>
    <t>Sincronizados PDI</t>
  </si>
  <si>
    <t>Con Inconsistencias</t>
  </si>
  <si>
    <t>Tasa de Éxito</t>
  </si>
  <si>
    <t>ANGAMOS</t>
  </si>
  <si>
    <t>PREPOLIN ARICA</t>
  </si>
  <si>
    <t>CUYA</t>
  </si>
  <si>
    <t>Fuente de datos del informe (sección 3 y gráfico) y del Dashboard Web. Si estos datos cambian, el informe se actualiza solo.</t>
  </si>
  <si>
    <t>País / Nacionalidad</t>
  </si>
  <si>
    <t>Código ISO</t>
  </si>
  <si>
    <t>Total Enrolamientos</t>
  </si>
  <si>
    <t>Proporción (%)</t>
  </si>
  <si>
    <t>PERÚ</t>
  </si>
  <si>
    <t>PER</t>
  </si>
  <si>
    <t>VENEZUELA</t>
  </si>
  <si>
    <t>VEN</t>
  </si>
  <si>
    <t xml:space="preserve">2023-06-01</t>
  </si>
  <si>
    <t xml:space="preserve">viernes, 2 de octubre de 2026, 11:26:19 a. m.</t>
  </si>
  <si>
    <t xml:space="preserve">NEC</t>
  </si>
  <si>
    <t xml:space="preserve">ARGENTINA</t>
  </si>
  <si>
    <t xml:space="preserve">ARG</t>
  </si>
  <si>
    <t xml:space="preserve">BOLIVIA</t>
  </si>
  <si>
    <t xml:space="preserve">BOL</t>
  </si>
  <si>
    <t xml:space="preserve">CUBA</t>
  </si>
  <si>
    <t xml:space="preserve">CUB</t>
  </si>
  <si>
    <t xml:space="preserve">Grupo Etario</t>
  </si>
  <si>
    <t xml:space="preserve">Hombres</t>
  </si>
  <si>
    <t xml:space="preserve">Mujeres</t>
  </si>
  <si>
    <t xml:space="preserve">Total</t>
  </si>
  <si>
    <t xml:space="preserve">Adultos (≥ 18)</t>
  </si>
  <si>
    <t xml:space="preserve">N.N.A (0-17)</t>
  </si>
  <si>
    <t xml:space="preserve">Profesión</t>
  </si>
  <si>
    <t xml:space="preserve">NO ESPECIFICADO</t>
  </si>
  <si>
    <t xml:space="preserve">AUXILIAR DE ASEO</t>
  </si>
  <si>
    <t xml:space="preserve">PELUQUERO EN GENERAL</t>
  </si>
  <si>
    <t xml:space="preserve">EMPLEADO DE ADUANAS</t>
  </si>
  <si>
    <t xml:space="preserve">ESTILISTA</t>
  </si>
  <si>
    <t xml:space="preserve">COMERCIANTE Y VENDEDOR</t>
  </si>
  <si>
    <t xml:space="preserve">RECICLADOR</t>
  </si>
  <si>
    <t xml:space="preserve">OBRERO AGRICOLA</t>
  </si>
  <si>
    <t xml:space="preserve">COCINERO EN GENERAL</t>
  </si>
  <si>
    <t xml:space="preserve">ODONTOLOGO</t>
  </si>
  <si>
    <t xml:space="preserve">ALBANIL EN PIEDRA (CONSTRUCCION)</t>
  </si>
  <si>
    <t xml:space="preserve">GUARDIA SEGURIDAD</t>
  </si>
  <si>
    <t xml:space="preserve">PANADERO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</si>
</sst>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0.0%"/>
  </numFmts>
  <fonts x14ac:knownFonts="1">
    <font>
      <sz val="11"/>
      <color theme="1"/>
      <name val="Calibri"/>
      <family val="2"/>
      <scheme val="minor"/>
    </font>
    <font>
      <b/>
      <sz val="14"/>
      <color rgb="FF0B2A5B"/>
      <name val="Segoe UI"/>
    </font>
    <font>
      <sz val="9"/>
      <color rgb="FF64748B"/>
      <name val="Segoe UI"/>
    </font>
    <font>
      <u/>
      <sz val="9"/>
      <color rgb="FF0F766E"/>
      <name val="Segoe UI"/>
    </font>
    <font>
      <b/>
      <sz val="9"/>
      <color rgb="FFFFFFFF"/>
      <name val="Segoe UI"/>
    </font>
    <font>
      <sz val="9"/>
      <color rgb="FF1E293B"/>
      <name val="Segoe UI"/>
    </font>
    <font>
      <b/>
      <sz val="9"/>
      <color rgb="FF1E293B"/>
      <name val="Segoe UI"/>
    </font>
    <font>
      <u/>
      <sz val="9"/>
      <color rgb="FF2B5FAE"/>
      <name val="Segoe UI"/>
    </font>
    <font>
      <b/>
      <sz val="8"/>
      <color rgb="FF64748B"/>
      <name val="Segoe UI"/>
    </font>
    <font>
      <b/>
      <sz val="22"/>
      <color rgb="FF0B2A5B"/>
      <name val="Segoe UI"/>
    </font>
    <font>
      <b/>
      <sz val="8.5"/>
      <color rgb="FF0B2A5B"/>
      <name val="Segoe UI"/>
    </font>
    <font>
      <b/>
      <sz val="11"/>
      <color rgb="FF0B2A5B"/>
      <name val="Segoe UI"/>
    </font>
    <font>
      <sz val="8"/>
      <color rgb="FF64748B"/>
      <name val="Segoe UI"/>
    </font>
    <font>
      <i/>
      <u/>
      <sz val="8"/>
      <color rgb="FF64748B"/>
      <name val="Segoe UI"/>
    </font>
    <font>
      <b/>
      <sz val="8"/>
      <color rgb="FFFFFFFF"/>
      <name val="Segoe UI"/>
    </font>
    <font>
      <b/>
      <sz val="24"/>
      <color rgb="FF0B2A5B"/>
      <name val="Segoe UI"/>
    </font>
    <font>
      <b/>
      <sz val="24"/>
      <color rgb="FF0F766E"/>
      <name val="Segoe UI"/>
    </font>
    <font>
      <b/>
      <sz val="24"/>
      <color rgb="FF2B5FAE"/>
      <name val="Segoe UI"/>
    </font>
    <font>
      <b/>
      <sz val="24"/>
      <color rgb="FFD92D20"/>
      <name val="Segoe UI"/>
    </font>
    <font>
      <b/>
      <sz val="9"/>
      <color rgb="FF0F766E"/>
      <name val="Segoe UI"/>
    </font>
    <font>
      <b/>
      <sz val="10"/>
      <color rgb="FF0B2A5B"/>
      <name val="Segoe UI"/>
    </font>
    <font>
      <b/>
      <sz val="10"/>
      <color rgb="FF0F766E"/>
      <name val="Segoe UI"/>
    </font>
    <font>
      <b/>
      <sz val="10"/>
      <color rgb="FFD92D20"/>
      <name val="Segoe UI"/>
    </font>
    <font>
      <b/>
      <sz val="9"/>
      <color rgb="FF2B5FAE"/>
      <name val="Segoe UI"/>
    </font>
    <font>
      <b/>
      <sz val="10"/>
      <color rgb="FF2B5FAE"/>
      <name val="Segoe UI"/>
    </font>
    <font>
      <b/>
      <u/>
      <sz val="9"/>
      <color rgb="FF475569"/>
      <name val="Segoe UI"/>
    </font>
    <font>
      <b/>
      <sz val="9"/>
      <color rgb="FF475569"/>
      <name val="Segoe UI"/>
    </font>
    <font>
      <sz val="7.5"/>
      <color rgb="FF64748B"/>
      <name val="Segoe UI"/>
    </font>
  </fonts>
  <fills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2B5FAE"/>
      </patternFill>
    </fill>
    <fill>
      <patternFill patternType="solid">
        <fgColor rgb="FFE8EDF5"/>
      </patternFill>
    </fill>
    <fill>
      <patternFill patternType="solid">
        <fgColor rgb="FF0B2A5B"/>
      </patternFill>
    </fill>
    <fill>
      <patternFill patternType="solid">
        <fgColor rgb="FFE6F4F1"/>
      </patternFill>
    </fill>
    <fill>
      <patternFill patternType="solid">
        <fgColor rgb="FFE8F0FB"/>
      </patternFill>
    </fill>
    <fill>
      <patternFill patternType="solid">
        <fgColor rgb="FFD92D20"/>
      </patternFill>
    </fill>
    <fill>
      <patternFill patternType="solid">
        <fgColor rgb="FFFDECEA"/>
      </patternFill>
    </fill>
    <fill>
      <patternFill patternType="solid">
        <fgColor rgb="FF475569"/>
      </patternFill>
    </fill>
    <fill>
      <patternFill patternType="solid">
        <fgColor rgb="FFEEF1F5"/>
      </patternFill>
    </fill>
  </fills>
  <borders>
    <border>
      <left/>
      <right/>
      <top/>
      <bottom/>
      <diagonal/>
    </border>
    <border>
      <left/>
      <right/>
      <top/>
      <bottom style="medium">
        <color rgb="FF0B2A5B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D5DCE8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2B5FAE"/>
      </top>
      <bottom style="thin">
        <color rgb="FF2B5FAE"/>
      </bottom>
      <diagonal/>
    </border>
  </borders>
  <cellStyleXfs count="1">
    <xf numFmtId="0" fontId="0" fillId="0" borderId="0"/>
  </cellStyleXfs>
  <cellXfs>
    <xf numFmtId="0" fontId="0" fillId="0" borderId="0" xfId="0"/>
    <xf numFmtId="0" fontId="0" fillId="0" borderId="1" xfId="0" applyBorder="1"/>
    <xf numFmtId="0" fontId="10" fillId="4" borderId="4" xfId="0" applyFont="1" applyFill="1" applyBorder="1" applyAlignment="1">
      <alignment horizontal="left" vertical="center" wrapText="1" indent="1"/>
    </xf>
    <xf numFmtId="0" fontId="14" fillId="5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3" fontId="15" fillId="4" borderId="2" xfId="0" applyNumberFormat="1" applyFont="1" applyFill="1" applyBorder="1" applyAlignment="1">
      <alignment horizontal="center" vertical="center" wrapText="1"/>
    </xf>
    <xf numFmtId="3" fontId="16" fillId="6" borderId="2" xfId="0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horizontal="left" vertical="center" wrapText="1"/>
    </xf>
    <xf numFmtId="3" fontId="20" fillId="6" borderId="6" xfId="0" applyNumberFormat="1" applyFont="1" applyFill="1" applyBorder="1" applyAlignment="1">
      <alignment horizontal="center" vertical="center" wrapText="1"/>
    </xf>
    <xf numFmtId="3" fontId="21" fillId="6" borderId="6" xfId="0" applyNumberFormat="1" applyFont="1" applyFill="1" applyBorder="1" applyAlignment="1">
      <alignment horizontal="center" vertical="center" wrapText="1"/>
    </xf>
    <xf numFmtId="3" fontId="22" fillId="6" borderId="6" xfId="0" applyNumberFormat="1" applyFont="1" applyFill="1" applyBorder="1" applyAlignment="1">
      <alignment horizontal="center" vertical="center" wrapText="1"/>
    </xf>
    <xf numFmtId="164" fontId="21" fillId="6" borderId="6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left" vertical="center" wrapText="1"/>
    </xf>
    <xf numFmtId="0" fontId="0" fillId="7" borderId="7" xfId="0" applyFill="1" applyBorder="1"/>
    <xf numFmtId="3" fontId="20" fillId="7" borderId="7" xfId="0" applyNumberFormat="1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25" fillId="11" borderId="4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center" wrapText="1"/>
    </xf>
    <xf numFmtId="0" fontId="3" fillId="0" borderId="0" xfId="0" applyFont="1"/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0" xfId="0"/>
    <xf numFmtId="0" fontId="5" fillId="0" borderId="3" xfId="0" applyFont="1" applyBorder="1" applyAlignment="1">
      <alignment horizontal="left" vertical="center" wrapText="1" indent="1"/>
    </xf>
    <xf numFmtId="0" fontId="11" fillId="0" borderId="5" xfId="0" applyFont="1" applyBorder="1"/>
    <xf numFmtId="0" fontId="5" fillId="0" borderId="3" xfId="0" applyFont="1" applyBorder="1" applyAlignment="1">
      <alignment horizontal="left" vertical="center" wrapText="1"/>
    </xf>
    <xf numFmtId="164" fontId="24" fillId="7" borderId="7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0" fillId="0" borderId="1" xfId="0" applyBorder="1"/>
    <xf numFmtId="0" fontId="13" fillId="0" borderId="0" xfId="0" applyFont="1" applyAlignment="1">
      <alignment horizontal="right" vertical="center"/>
    </xf>
    <xf numFmtId="0" fontId="12" fillId="9" borderId="2" xfId="0" applyFont="1" applyFill="1" applyBorder="1" applyAlignment="1">
      <alignment horizontal="center" vertical="center" wrapText="1"/>
    </xf>
    <xf numFmtId="164" fontId="23" fillId="0" borderId="3" xfId="0" applyNumberFormat="1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top" wrapText="1"/>
    </xf>
    <xf numFmtId="0" fontId="14" fillId="10" borderId="2" xfId="0" applyFont="1" applyFill="1" applyBorder="1" applyAlignment="1">
      <alignment horizontal="left" vertical="center" wrapText="1"/>
    </xf>
    <xf numFmtId="0" fontId="8" fillId="0" borderId="0" xfId="0" applyFont="1"/>
    <xf numFmtId="0" fontId="14" fillId="8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1"/>
    </xf>
    <xf numFmtId="0" fontId="12" fillId="7" borderId="2" xfId="0" applyFont="1" applyFill="1" applyBorder="1" applyAlignment="1">
      <alignment horizontal="center" vertical="center" wrapText="1"/>
    </xf>
    <xf numFmtId="3" fontId="17" fillId="7" borderId="2" xfId="0" applyNumberFormat="1" applyFont="1" applyFill="1" applyBorder="1" applyAlignment="1">
      <alignment horizontal="center" vertical="center" wrapText="1"/>
    </xf>
    <xf numFmtId="3" fontId="18" fillId="9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2">
    <dxf>
      <font>
        <b/>
        <sz val="9"/>
        <color rgb="FFD92D20"/>
        <name val="Segoe UI"/>
      </font>
      <fill>
        <patternFill patternType="solid">
          <fgColor rgb="FFFDECEA"/>
        </patternFill>
      </fill>
    </dxf>
    <dxf>
      <font>
        <b/>
        <sz val="9"/>
        <color rgb="FFD92D20"/>
        <name val="Segoe UI"/>
      </font>
      <fill>
        <patternFill patternType="solid">
          <fgColor rgb="FFFDEC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B2A5B"/>
                </a:solidFill>
                <a:latin typeface="Segoe UI"/>
              </a:defRPr>
            </a:pPr>
            <a:r>
              <a:rPr lang="es-CL" sz="1100" b="1">
                <a:solidFill>
                  <a:srgbClr val="0B2A5B"/>
                </a:solidFill>
                <a:latin typeface="Segoe UI"/>
              </a:rPr>
              <a:t>Enrolamientos por cuartel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'Vista Cuarteles'!$C$4</c:f>
              <c:strCache>
                <c:ptCount val="1"/>
                <c:pt idx="0">
                  <c:v>Total Enrolados</c:v>
                </c:pt>
              </c:strCache>
            </c:strRef>
          </c:tx>
          <c:spPr>
            <a:solidFill>
              <a:srgbClr val="0B2A5B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B2A5B"/>
                    </a:solidFill>
                    <a:latin typeface="Segoe U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'Vista Cuarteles'!$A$5:$A$6</c:f>
              <c:strCache>
                <c:ptCount val="2"/>
                <c:pt idx="0">
                  <c:v>ANGAMOS</c:v>
                </c:pt>
                <c:pt idx="1">
                  <c:v>CUYA</c:v>
                </c:pt>
              </c:strCache>
            </c:strRef>
          </c:cat>
          <c:val>
            <c:numRef>
              <c:f>'Vista Cuarteles'!$C$5:$C$6</c:f>
              <c:numCache>
                <c:formatCode>#,##0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C-498A-BE9E-3170C5470CB1}"/>
            </c:ext>
          </c:extLst>
        </c:ser>
        <c:ser>
          <c:idx val="1"/>
          <c:order val="1"/>
          <c:tx>
            <c:strRef>
              <c:f>'Vista Cuarteles'!$D$4</c:f>
              <c:strCache>
                <c:ptCount val="1"/>
                <c:pt idx="0">
                  <c:v>Sincronizados PDI</c:v>
                </c:pt>
              </c:strCache>
            </c:strRef>
          </c:tx>
          <c:spPr>
            <a:solidFill>
              <a:srgbClr val="0F766E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0F766E"/>
                    </a:solidFill>
                    <a:latin typeface="Segoe U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'Vista Cuarteles'!$A$5:$A$6</c:f>
              <c:strCache>
                <c:ptCount val="2"/>
                <c:pt idx="0">
                  <c:v>ANGAMOS</c:v>
                </c:pt>
                <c:pt idx="1">
                  <c:v>CUYA</c:v>
                </c:pt>
              </c:strCache>
            </c:strRef>
          </c:cat>
          <c:val>
            <c:numRef>
              <c:f>'Vista Cuarteles'!$D$5:$D$6</c:f>
              <c:numCache>
                <c:formatCode>#,##0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EC-498A-BE9E-3170C5470CB1}"/>
            </c:ext>
          </c:extLst>
        </c:ser>
        <c:ser>
          <c:idx val="2"/>
          <c:order val="2"/>
          <c:tx>
            <c:strRef>
              <c:f>'Vista Cuarteles'!$E$4</c:f>
              <c:strCache>
                <c:ptCount val="1"/>
                <c:pt idx="0">
                  <c:v>Con Inconsistencias</c:v>
                </c:pt>
              </c:strCache>
            </c:strRef>
          </c:tx>
          <c:spPr>
            <a:solidFill>
              <a:srgbClr val="D92D2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D92D20"/>
                    </a:solidFill>
                    <a:latin typeface="Segoe U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'Vista Cuarteles'!$A$5:$A$6</c:f>
              <c:strCache>
                <c:ptCount val="2"/>
                <c:pt idx="0">
                  <c:v>ANGAMOS</c:v>
                </c:pt>
                <c:pt idx="1">
                  <c:v>CUYA</c:v>
                </c:pt>
              </c:strCache>
            </c:strRef>
          </c:cat>
          <c:val>
            <c:numRef>
              <c:f>'Vista Cuarteles'!$E$5:$E$6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EC-498A-BE9E-3170C5470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8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900" b="1">
                <a:solidFill>
                  <a:srgbClr val="1E293B"/>
                </a:solidFill>
                <a:latin typeface="Segoe UI"/>
              </a:defRPr>
            </a:pPr>
            <a:endParaRPr lang="es-CL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sz="900" b="0">
              <a:solidFill>
                <a:srgbClr val="475569"/>
              </a:solidFill>
              <a:latin typeface="Segoe UI"/>
            </a:defRPr>
          </a:pPr>
          <a:endParaRPr lang="es-CL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B2A5B"/>
                </a:solidFill>
                <a:latin typeface="Segoe UI"/>
              </a:defRPr>
            </a:pPr>
            <a:r>
              <a:rPr lang="es-CL" sz="1100" b="1">
                <a:solidFill>
                  <a:srgbClr val="0B2A5B"/>
                </a:solidFill>
                <a:latin typeface="Segoe UI"/>
              </a:rPr>
              <a:t>Enrolados por nacionalidad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'Vista Nacionalidades'!$C$4</c:f>
              <c:strCache>
                <c:ptCount val="1"/>
                <c:pt idx="0">
                  <c:v>Total Enrolamientos</c:v>
                </c:pt>
              </c:strCache>
            </c:strRef>
          </c:tx>
          <c:spPr>
            <a:solidFill>
              <a:srgbClr val="2B5FAE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2B5FAE"/>
                    </a:solidFill>
                    <a:latin typeface="Segoe U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'Vista Nacionalidades'!$A$5:$A$6</c:f>
              <c:strCache>
                <c:ptCount val="2"/>
                <c:pt idx="0">
                  <c:v>PERÚ</c:v>
                </c:pt>
                <c:pt idx="1">
                  <c:v>VENEZUELA</c:v>
                </c:pt>
              </c:strCache>
            </c:strRef>
          </c:cat>
          <c:val>
            <c:numRef>
              <c:f>'Vista Nacionalidades'!$C$5:$C$6</c:f>
              <c:numCache>
                <c:formatCode>#,##0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E-45E1-B132-DFFE9BDE9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CBD5E1"/>
            </a:solidFill>
            <a:prstDash val="solid"/>
          </a:ln>
        </c:spPr>
        <c:txPr>
          <a:bodyPr/>
          <a:lstStyle/>
          <a:p>
            <a:pPr>
              <a:defRPr sz="900" b="1">
                <a:solidFill>
                  <a:srgbClr val="1E293B"/>
                </a:solidFill>
                <a:latin typeface="Segoe UI"/>
              </a:defRPr>
            </a:pPr>
            <a:endParaRPr lang="es-CL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0</xdr:rowOff>
    </xdr:from>
    <xdr:ext cx="7128000" cy="266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47</xdr:row>
      <xdr:rowOff>0</xdr:rowOff>
    </xdr:from>
    <xdr:ext cx="7128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1</xdr:row>
      <xdr:rowOff>0</xdr:rowOff>
    </xdr:from>
    <xdr:ext cx="952500" cy="7715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2A5B"/>
    <pageSetUpPr fitToPage="1"/>
  </sheetPr>
  <sheetViews>
    <sheetView showGridLines="0" tabSelected="1" topLeftCell="A10" workbookViewId="0"/>
  </sheetViews>
  <sheetFormatPr baseColWidth="10" defaultColWidth="9.140625" defaultRowHeight="15" x14ac:dyDescent="0.25"/>
  <cols>
    <col min="1" max="1" width="2.42578125" customWidth="1"/>
    <col min="2" max="3" width="26" customWidth="1"/>
    <col min="4" max="7" width="13" customWidth="1"/>
    <col min="8" max="8" width="2.42578125" customWidth="1"/>
  </cols>
  <sheetData>
    <row r="1" spans="2:7" ht="8.1" customHeight="1" x14ac:dyDescent="0.25"/>
    <row r="2" spans="2:7" ht="21.95" customHeight="1" x14ac:dyDescent="0.25">
      <c r="C2" t="s" s="51">
        <v>0</v>
      </c>
      <c r="D2" s="38"/>
      <c r="E2" s="38"/>
      <c r="F2" s="38"/>
      <c r="G2" s="38"/>
    </row>
    <row r="3" spans="2:7" ht="32.1" customHeight="1" x14ac:dyDescent="0.25">
      <c r="C3" t="s" s="57">
        <v>1</v>
      </c>
      <c r="D3" s="38"/>
      <c r="E3" s="38"/>
      <c r="F3" s="38"/>
      <c r="G3" s="38"/>
    </row>
    <row r="4" spans="2:7" ht="20.100000000000001" customHeight="1" x14ac:dyDescent="0.25">
      <c r="B4" s="1"/>
      <c r="C4" t="s" s="43">
        <v>2</v>
      </c>
      <c r="D4" s="44"/>
      <c r="E4" s="44"/>
      <c r="F4" s="44"/>
      <c r="G4" s="44"/>
    </row>
    <row r="5" spans="2:7" ht="9.9499999999999993" customHeight="1" x14ac:dyDescent="0.25"/>
    <row r="6" spans="2:7" ht="21" customHeight="1" x14ac:dyDescent="0.25">
      <c r="B6" t="s" s="2">
        <v>3</v>
      </c>
      <c r="C6" t="s" s="39">
        <v>4</v>
      </c>
      <c r="D6" t="s" s="38">
        <v>62</v>
      </c>
      <c r="E6" s="38"/>
      <c r="F6" s="38"/>
      <c r="G6" s="38"/>
    </row>
    <row r="7" spans="2:7" ht="21" customHeight="1" x14ac:dyDescent="0.25">
      <c r="B7" t="s" s="2">
        <v>5</v>
      </c>
      <c r="C7" t="s" s="39">
        <v>6</v>
      </c>
      <c r="D7" t="s" s="38">
        <v>63</v>
      </c>
      <c r="E7" s="38"/>
      <c r="F7" s="38"/>
      <c r="G7" s="38"/>
    </row>
    <row r="8" spans="2:7" ht="21" customHeight="1" x14ac:dyDescent="0.25">
      <c r="B8" t="s" s="2">
        <v>7</v>
      </c>
      <c r="C8" t="s" s="53">
        <v>8</v>
      </c>
      <c r="D8" s="38"/>
      <c r="E8" s="38"/>
      <c r="F8" s="38"/>
      <c r="G8" s="38"/>
    </row>
    <row r="9" spans="2:7" ht="14.1" customHeight="1" x14ac:dyDescent="0.25"/>
    <row r="10" spans="2:7" ht="24" customHeight="1" x14ac:dyDescent="0.3">
      <c r="B10" t="s" s="40">
        <v>9</v>
      </c>
      <c r="C10" s="38"/>
      <c r="D10" s="38"/>
      <c r="E10" s="38"/>
      <c r="F10" s="38"/>
      <c r="G10" s="38"/>
    </row>
    <row r="11" spans="2:7" ht="18" customHeight="1" x14ac:dyDescent="0.25">
      <c r="B11" t="s" s="37">
        <v>10</v>
      </c>
      <c r="C11" s="38"/>
      <c r="D11" s="38"/>
      <c r="E11" t="s" s="45">
        <v>11</v>
      </c>
      <c r="F11" s="38"/>
      <c r="G11" s="38"/>
    </row>
    <row r="12" spans="2:7" ht="6" customHeight="1" x14ac:dyDescent="0.25"/>
    <row r="13" spans="2:7" ht="24" customHeight="1" x14ac:dyDescent="0.25">
      <c r="B13" t="s" s="3">
        <v>12</v>
      </c>
      <c r="C13" t="s" s="4">
        <v>13</v>
      </c>
      <c r="D13" t="s" s="48">
        <v>14</v>
      </c>
      <c r="E13" s="38"/>
      <c r="F13" t="s" s="52">
        <v>15</v>
      </c>
      <c r="G13" s="38"/>
    </row>
    <row r="14" spans="2:7" ht="44.1" customHeight="1" x14ac:dyDescent="0.25">
      <c r="B14" s="6">
        <f>D23</f>
      </c>
      <c r="C14" s="7">
        <f>E23</f>
      </c>
      <c r="D14" s="55">
        <f>D23-F23</f>
      </c>
      <c r="E14" s="38"/>
      <c r="F14" s="56">
        <f>F23</f>
      </c>
      <c r="G14" s="38"/>
    </row>
    <row r="15" spans="2:7" ht="20.100000000000001" customHeight="1" x14ac:dyDescent="0.25">
      <c r="B15" t="s" s="8">
        <v>16</v>
      </c>
      <c r="C15" s="9">
        <f>TEXT(IF(D23&gt;0,E23/D23,0),"0%")&amp;" de efectividad"</f>
      </c>
      <c r="D15" s="54">
        <f>TEXT(IF(D23&gt;0,(D23-F23)/D23,0),"0%")&amp;" de captura válida"</f>
      </c>
      <c r="E15" s="38"/>
      <c r="F15" s="46">
        <f>TEXT(IF(D23&gt;0,F23/D23,0),"0%")&amp;" de tasa de error"</f>
      </c>
      <c r="G15" s="38"/>
    </row>
    <row r="16" spans="2:7" ht="15.95" customHeight="1" x14ac:dyDescent="0.25"/>
    <row r="17" spans="2:7" ht="24" customHeight="1" x14ac:dyDescent="0.3">
      <c r="B17" t="s" s="40">
        <v>17</v>
      </c>
      <c r="C17" s="38"/>
      <c r="D17" s="38"/>
      <c r="E17" s="38"/>
      <c r="F17" s="38"/>
      <c r="G17" s="38"/>
    </row>
    <row r="18" spans="2:7" ht="18" customHeight="1" x14ac:dyDescent="0.25">
      <c r="B18" t="s" s="37">
        <v>18</v>
      </c>
      <c r="C18" s="38"/>
      <c r="D18" s="38"/>
      <c r="E18" t="s" s="45">
        <v>11</v>
      </c>
      <c r="F18" s="38"/>
      <c r="G18" s="38"/>
    </row>
    <row r="19" spans="2:7" ht="6" customHeight="1" x14ac:dyDescent="0.25"/>
    <row r="20" spans="2:7" ht="32.1" customHeight="1" x14ac:dyDescent="0.25">
      <c r="B20" t="s" s="10">
        <v>19</v>
      </c>
      <c r="C20" t="s" s="10">
        <v>20</v>
      </c>
      <c r="D20" t="s" s="4">
        <v>21</v>
      </c>
      <c r="E20" t="s" s="4">
        <v>13</v>
      </c>
      <c r="F20" t="s" s="4">
        <v>22</v>
      </c>
      <c r="G20" t="s" s="4">
        <v>23</v>
      </c>
    </row>
    <row r="21" spans="2:7" ht="21.95" customHeight="1" x14ac:dyDescent="0.25">
      <c r="B21" s="11">
        <f>'Vista Cuarteles'!A5</f>
      </c>
      <c r="C21" s="11">
        <f>'Vista Cuarteles'!B5</f>
      </c>
      <c r="D21" s="12">
        <f>'Vista Cuarteles'!C5</f>
      </c>
      <c r="E21" s="13">
        <f>'Vista Cuarteles'!D5</f>
      </c>
      <c r="F21" s="13">
        <f>'Vista Cuarteles'!E5</f>
      </c>
      <c r="G21" s="14">
        <f>'Vista Cuarteles'!F5</f>
      </c>
    </row>
    <row r="22" spans="2:7" ht="21.95" customHeight="1" x14ac:dyDescent="0.25">
      <c r="B22" s="11">
        <f>'Vista Cuarteles'!A6</f>
      </c>
      <c r="C22" s="11">
        <f>'Vista Cuarteles'!B6</f>
      </c>
      <c r="D22" s="12">
        <f>'Vista Cuarteles'!C6</f>
      </c>
      <c r="E22" s="13">
        <f>'Vista Cuarteles'!D6</f>
      </c>
      <c r="F22" s="13">
        <f>'Vista Cuarteles'!E6</f>
      </c>
      <c r="G22" s="14">
        <f>'Vista Cuarteles'!F6</f>
      </c>
    </row>
    <row r="23" spans="2:7" ht="24" customHeight="1" x14ac:dyDescent="0.25">
      <c r="B23" t="s" s="15">
        <v>24</v>
      </c>
      <c r="C23" s="16">
        <f>COUNTA(B21:B22)&amp;" cuarteles operativos"</f>
      </c>
      <c r="D23" s="17">
        <f>SUM(D21:D22)</f>
      </c>
      <c r="E23" s="18">
        <f>SUM(E21:E22)</f>
      </c>
      <c r="F23" s="19">
        <f>SUM(F21:F22)</f>
      </c>
      <c r="G23" s="20">
        <f>IF(D23&gt;0,E23/D23,0)</f>
      </c>
    </row>
    <row r="24" spans="2:7" ht="8.1" customHeight="1" x14ac:dyDescent="0.25"/>
    <row r="25" spans="2:7" ht="15" customHeight="1" x14ac:dyDescent="0.25"/>
    <row r="26" spans="2:7" ht="15" customHeight="1" x14ac:dyDescent="0.25"/>
    <row r="27" spans="2:7" ht="15" customHeight="1" x14ac:dyDescent="0.25"/>
    <row r="28" spans="2:7" ht="15" customHeight="1" x14ac:dyDescent="0.25"/>
    <row r="29" spans="2:7" ht="15" customHeight="1" x14ac:dyDescent="0.25"/>
    <row r="30" spans="2:7" ht="15" customHeight="1" x14ac:dyDescent="0.25"/>
    <row r="31" spans="2:7" ht="15" customHeight="1" x14ac:dyDescent="0.25"/>
    <row r="32" spans="2:7" ht="15" customHeight="1" x14ac:dyDescent="0.25"/>
    <row r="33" spans="2:7" ht="15" customHeight="1" x14ac:dyDescent="0.25"/>
    <row r="34" spans="2:7" ht="15" customHeight="1" x14ac:dyDescent="0.25"/>
    <row r="35" spans="2:7" ht="15" customHeight="1" x14ac:dyDescent="0.25"/>
    <row r="36" spans="2:7" ht="15" customHeight="1" x14ac:dyDescent="0.25"/>
    <row r="37" spans="2:7" ht="15" customHeight="1" x14ac:dyDescent="0.25"/>
    <row r="38" spans="2:7" ht="15" customHeight="1" x14ac:dyDescent="0.25"/>
    <row r="39" spans="2:7" ht="14.1" customHeight="1" x14ac:dyDescent="0.25"/>
    <row r="40" spans="2:7" ht="24" customHeight="1" x14ac:dyDescent="0.3">
      <c r="B40" t="s" s="40">
        <v>25</v>
      </c>
      <c r="C40" s="38"/>
      <c r="D40" s="38"/>
      <c r="E40" s="38"/>
      <c r="F40" s="38"/>
      <c r="G40" s="38"/>
    </row>
    <row r="41" spans="2:7" ht="18" customHeight="1" x14ac:dyDescent="0.25">
      <c r="B41" t="s" s="37">
        <v>26</v>
      </c>
      <c r="C41" s="38"/>
      <c r="D41" s="38"/>
      <c r="E41" t="s" s="45">
        <v>27</v>
      </c>
      <c r="F41" s="38"/>
      <c r="G41" s="38"/>
    </row>
    <row r="42" spans="2:7" ht="6" customHeight="1" x14ac:dyDescent="0.25"/>
    <row r="43" spans="2:7" ht="32.1" customHeight="1" x14ac:dyDescent="0.25">
      <c r="B43" t="s" s="21">
        <v>28</v>
      </c>
      <c r="C43" t="s" s="5">
        <v>29</v>
      </c>
      <c r="D43" t="s" s="5">
        <v>12</v>
      </c>
      <c r="E43" t="s" s="48">
        <v>30</v>
      </c>
      <c r="F43" s="38"/>
      <c r="G43" s="38"/>
    </row>
    <row r="44" spans="2:7" ht="21.95" customHeight="1" x14ac:dyDescent="0.25">
      <c r="B44" s="11">
        <f>'Vista Nacionalidades'!A5</f>
      </c>
      <c r="C44" s="22">
        <f>'Vista Nacionalidades'!B5</f>
      </c>
      <c r="D44" s="12">
        <f>'Vista Nacionalidades'!C5</f>
      </c>
      <c r="E44" s="47">
        <f>'Vista Nacionalidades'!D5</f>
      </c>
      <c r="F44" s="38"/>
      <c r="G44" s="38"/>
    </row>
    <row r="45" spans="2:7" ht="21.95" customHeight="1" x14ac:dyDescent="0.25">
      <c r="B45" s="11">
        <f>'Vista Nacionalidades'!A6</f>
      </c>
      <c r="C45" s="22">
        <f>'Vista Nacionalidades'!B6</f>
      </c>
      <c r="D45" s="12">
        <f>'Vista Nacionalidades'!C6</f>
      </c>
      <c r="E45" s="47">
        <f>'Vista Nacionalidades'!D6</f>
      </c>
      <c r="F45" s="38"/>
      <c r="G45" s="38"/>
    </row>
    <row r="46" spans="2:7" ht="24" customHeight="1" x14ac:dyDescent="0.25">
      <c r="B46" t="s" s="23">
        <v>24</v>
      </c>
      <c r="C46" s="24"/>
      <c r="D46" s="25">
        <f>SUM(D44:D45)</f>
      </c>
      <c r="E46" s="42">
        <f>SUM(E44:E45)</f>
      </c>
      <c r="F46" s="38"/>
      <c r="G46" s="38"/>
    </row>
    <row r="47" spans="2:7" ht="8.1" customHeight="1" x14ac:dyDescent="0.25"/>
    <row r="48" spans="2:7" ht="15" customHeight="1" x14ac:dyDescent="0.25"/>
    <row r="49" spans="2:7" ht="15" customHeight="1" x14ac:dyDescent="0.25"/>
    <row r="50" spans="2:7" ht="15" customHeight="1" x14ac:dyDescent="0.25"/>
    <row r="51" spans="2:7" ht="15" customHeight="1" x14ac:dyDescent="0.25"/>
    <row r="52" spans="2:7" ht="15" customHeight="1" x14ac:dyDescent="0.25"/>
    <row r="53" spans="2:7" ht="15" customHeight="1" x14ac:dyDescent="0.25"/>
    <row r="54" spans="2:7" ht="15" customHeight="1" x14ac:dyDescent="0.25"/>
    <row r="55" spans="2:7" ht="15" customHeight="1" x14ac:dyDescent="0.25"/>
    <row r="56" spans="2:7" ht="15" customHeight="1" x14ac:dyDescent="0.25"/>
    <row r="57" spans="2:7" ht="15" customHeight="1" x14ac:dyDescent="0.25"/>
    <row r="58" spans="2:7" ht="15" customHeight="1" x14ac:dyDescent="0.25"/>
    <row r="59" spans="2:7" ht="15" customHeight="1" x14ac:dyDescent="0.25"/>
    <row r="60" spans="2:7" ht="14.1" customHeight="1" x14ac:dyDescent="0.25"/>
    <row r="61" spans="2:7" ht="24" customHeight="1" x14ac:dyDescent="0.3">
      <c r="B61" t="s" s="40">
        <v>31</v>
      </c>
      <c r="C61" s="38"/>
      <c r="D61" s="38"/>
      <c r="E61" s="38"/>
      <c r="F61" s="38"/>
      <c r="G61" s="38"/>
    </row>
    <row r="62" spans="2:7" ht="18" customHeight="1" x14ac:dyDescent="0.25">
      <c r="B62" t="s" s="37">
        <v>32</v>
      </c>
      <c r="C62" s="38"/>
      <c r="D62" s="38"/>
    </row>
    <row r="63" spans="2:7" ht="6" customHeight="1" x14ac:dyDescent="0.25"/>
    <row r="64" spans="2:7" ht="24" customHeight="1" x14ac:dyDescent="0.25">
      <c r="B64" t="s" s="26">
        <v>33</v>
      </c>
      <c r="C64" t="s" s="50">
        <v>34</v>
      </c>
      <c r="D64" s="38"/>
      <c r="E64" s="38"/>
      <c r="F64" s="38"/>
      <c r="G64" t="s" s="27">
        <v>35</v>
      </c>
    </row>
    <row r="65" spans="2:7" ht="30" customHeight="1" x14ac:dyDescent="0.25">
      <c r="B65" t="s" s="28">
        <v>36</v>
      </c>
      <c r="C65" t="s" s="41">
        <v>37</v>
      </c>
      <c r="D65" s="38"/>
      <c r="E65" s="38"/>
      <c r="F65" s="38"/>
      <c r="G65" t="s" s="29">
        <v>38</v>
      </c>
    </row>
    <row r="66" spans="2:7" ht="30" customHeight="1" x14ac:dyDescent="0.25">
      <c r="B66" t="s" s="28">
        <v>39</v>
      </c>
      <c r="C66" t="s" s="41">
        <v>40</v>
      </c>
      <c r="D66" s="38"/>
      <c r="E66" s="38"/>
      <c r="F66" s="38"/>
      <c r="G66" t="s" s="29">
        <v>38</v>
      </c>
    </row>
    <row r="67" spans="2:7" ht="12" customHeight="1" x14ac:dyDescent="0.25"/>
    <row r="68" spans="2:7" ht="27.95" customHeight="1" x14ac:dyDescent="0.25">
      <c r="B68" t="s" s="49">
        <v>41</v>
      </c>
      <c r="C68" s="38"/>
      <c r="D68" s="38"/>
      <c r="E68" s="38"/>
      <c r="F68" s="38"/>
      <c r="G68" s="38"/>
    </row>
  </sheetData>
  <mergeCells count="31">
    <mergeCell ref="C3:G3"/>
    <mergeCell ref="B68:G68"/>
    <mergeCell ref="E41:G41"/>
    <mergeCell ref="C64:F64"/>
    <mergeCell ref="B41:D41"/>
    <mergeCell ref="C2:G2"/>
    <mergeCell ref="E18:G18"/>
    <mergeCell ref="B62:D62"/>
    <mergeCell ref="F13:G13"/>
    <mergeCell ref="C65:F65"/>
    <mergeCell ref="E43:G43"/>
    <mergeCell ref="C8:G8"/>
    <mergeCell ref="C7:G7"/>
    <mergeCell ref="D15:E15"/>
    <mergeCell ref="B18:D18"/>
    <mergeCell ref="D14:E14"/>
    <mergeCell ref="F14:G14"/>
    <mergeCell ref="C4:G4"/>
    <mergeCell ref="B10:G10"/>
    <mergeCell ref="E11:G11"/>
    <mergeCell ref="F15:G15"/>
    <mergeCell ref="E45:G45"/>
    <mergeCell ref="D13:E13"/>
    <mergeCell ref="B40:G40"/>
    <mergeCell ref="E44:G44"/>
    <mergeCell ref="B11:D11"/>
    <mergeCell ref="C6:G6"/>
    <mergeCell ref="B17:G17"/>
    <mergeCell ref="B61:G61"/>
    <mergeCell ref="C66:F66"/>
    <mergeCell ref="E46:G46"/>
  </mergeCells>
  <conditionalFormatting sqref="E44:E45">
    <cfRule type="dataBar" priority="3">
      <dataBar>
        <cfvo type="num" val="0"/>
        <cfvo type="num" val="1"/>
        <color rgb="FF8DADDB"/>
      </dataBar>
    </cfRule>
  </conditionalFormatting>
  <conditionalFormatting sqref="F21:F22">
    <cfRule type="cellIs" dxfId="1" priority="2" operator="greaterThan">
      <formula>0</formula>
    </cfRule>
  </conditionalFormatting>
  <conditionalFormatting sqref="G21:G22">
    <cfRule type="dataBar" priority="1">
      <dataBar>
        <cfvo type="num" val="0"/>
        <cfvo type="num" val="1"/>
        <color rgb="FF5EAEA3"/>
      </dataBar>
    </cfRule>
  </conditionalFormatting>
  <hyperlinks>
    <hyperlink ref="E11" location="'Vista Cuarteles'!A1" tooltip="Ir a Vista Cuarteles" display="Fuente: Vista Cuarteles  ›" xr:uid="{00000000-0004-0000-0000-000000000000}"/>
    <hyperlink ref="E18" location="'Vista Cuarteles'!A1" tooltip="Ir a Vista Cuarteles" display="Fuente: Vista Cuarteles  ›" xr:uid="{00000000-0004-0000-0000-000001000000}"/>
    <hyperlink ref="E41" location="'Vista Nacionalidades'!A1" tooltip="Ir a Vista Nacionalidades" display="Fuente: Vista Nacionalidades  ›" xr:uid="{00000000-0004-0000-0000-000002000000}"/>
    <hyperlink ref="B65" location="'Vista Cuarteles'!A1" tooltip="Ir a Vista Cuarteles" display="Vista Cuarteles" xr:uid="{00000000-0004-0000-0000-000003000000}"/>
    <hyperlink ref="B66" location="'Vista Nacionalidades'!A1" tooltip="Ir a Vista Nacionalidades" display="Vista Nacionalidades" xr:uid="{00000000-0004-0000-0000-000004000000}"/>
  </hyperlinks>
  <printOptions horizontalCentered="1"/>
  <pageMargins left="0.5" right="0.5" top="0.5" bottom="0.5" header="0.5" footer="0.5"/>
  <pageSetup fitToHeight="0" orientation="portrait"/>
  <headerFooter>
    <oddFooter>&amp;C&amp;7 &amp;K64748BPDI • SISTEMA ABIS  |  USO OFICIAL RESERVADO  |  Página &amp;P de &amp;N</oddFooter>
  </headerFooter>
  <rowBreaks count="1" manualBreakCount="1">
    <brk id="39" max="16383" man="1"/>
  </rowBreak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4" customWidth="1"/>
    <col min="3" max="3" width="16" customWidth="1"/>
    <col min="4" max="5" width="18" customWidth="1"/>
    <col min="6" max="6" width="16" customWidth="1"/>
  </cols>
  <sheetData>
    <row r="1" spans="1:6" ht="27.95" customHeight="1" x14ac:dyDescent="0.25">
      <c r="A1" t="s" s="59">
        <v>36</v>
      </c>
      <c r="B1" s="38"/>
      <c r="C1" s="38"/>
      <c r="D1" s="38"/>
      <c r="E1" s="38"/>
      <c r="F1" s="38"/>
    </row>
    <row r="2" spans="1:6" ht="30" customHeight="1" x14ac:dyDescent="0.25">
      <c r="A2" t="s" s="58">
        <v>42</v>
      </c>
      <c r="B2" s="38"/>
      <c r="C2" s="38"/>
      <c r="D2" s="38"/>
      <c r="E2" s="38"/>
      <c r="F2" s="38"/>
    </row>
    <row r="3" spans="1:6" x14ac:dyDescent="0.25">
      <c r="A3" t="s" s="30">
        <v>43</v>
      </c>
    </row>
    <row r="4" spans="1:6" ht="30" customHeight="1" x14ac:dyDescent="0.25">
      <c r="A4" t="s" s="31">
        <v>44</v>
      </c>
      <c r="B4" t="s" s="31">
        <v>45</v>
      </c>
      <c r="C4" t="s" s="32">
        <v>46</v>
      </c>
      <c r="D4" t="s" s="32">
        <v>47</v>
      </c>
      <c r="E4" t="s" s="32">
        <v>48</v>
      </c>
      <c r="F4" t="s" s="32">
        <v>49</v>
      </c>
    </row>
    <row r="5" spans="1:6" ht="21.95" customHeight="1" x14ac:dyDescent="0.25">
      <c r="A5" t="s" s="11">
        <v>50</v>
      </c>
      <c r="B5" t="s" s="11">
        <v>51</v>
      </c>
      <c r="C5" s="12">
        <v>11</v>
      </c>
      <c r="D5" s="13">
        <v>11</v>
      </c>
      <c r="E5" s="13">
        <v>0</v>
      </c>
      <c r="F5" s="14">
        <f>IF(C5&gt;0,D5/C5,0)</f>
      </c>
    </row>
    <row r="6" spans="1:6" ht="21.95" customHeight="1" x14ac:dyDescent="0.25">
      <c r="A6" t="s" s="11">
        <v>64</v>
      </c>
      <c r="B6" t="s" s="11">
        <v>64</v>
      </c>
      <c r="C6" s="12">
        <v>8</v>
      </c>
      <c r="D6" s="13">
        <v>8</v>
      </c>
      <c r="E6" s="13">
        <v>0</v>
      </c>
      <c r="F6" s="14">
        <f>IF(C6&gt;0,D6/C6,0)</f>
      </c>
    </row>
  </sheetData>
  <mergeCells count="2">
    <mergeCell ref="A2:F2"/>
    <mergeCell ref="A1:F1"/>
  </mergeCells>
  <conditionalFormatting sqref="E5:E6">
    <cfRule type="cellIs" dxfId="0" priority="2" operator="greaterThan">
      <formula>0</formula>
    </cfRule>
  </conditionalFormatting>
  <conditionalFormatting sqref="F5:F6">
    <cfRule type="dataBar" priority="1">
      <dataBar>
        <cfvo type="num" val="0"/>
        <cfvo type="num" val="1"/>
        <color rgb="FF5EAEA3"/>
      </dataBar>
    </cfRule>
  </conditionalFormatting>
  <hyperlinks>
    <hyperlink ref="A3" location="'Informe ABIS'!A1" tooltip="Ir al informe" display="← Volver al informe" xr:uid="{00000000-0004-0000-0100-000000000000}"/>
  </hyperlink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B5FAE"/>
    <pageSetUpPr fitToPage="1"/>
  </sheetPr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16" customWidth="1"/>
    <col min="3" max="3" width="22" customWidth="1"/>
    <col min="4" max="4" width="18" customWidth="1"/>
  </cols>
  <sheetData>
    <row r="1" spans="1:4" ht="27.95" customHeight="1" x14ac:dyDescent="0.25">
      <c r="A1" t="s" s="59">
        <v>39</v>
      </c>
      <c r="B1" s="38"/>
      <c r="C1" s="38"/>
      <c r="D1" s="38"/>
    </row>
    <row r="2" spans="1:4" ht="30" customHeight="1" x14ac:dyDescent="0.25">
      <c r="A2" t="s" s="58">
        <v>53</v>
      </c>
      <c r="B2" s="38"/>
      <c r="C2" s="38"/>
      <c r="D2" s="38"/>
    </row>
    <row r="3" spans="1:4" x14ac:dyDescent="0.25">
      <c r="A3" t="s" s="33">
        <v>43</v>
      </c>
    </row>
    <row r="4" spans="1:4" ht="30" customHeight="1" x14ac:dyDescent="0.25">
      <c r="A4" t="s" s="34">
        <v>54</v>
      </c>
      <c r="B4" t="s" s="34">
        <v>55</v>
      </c>
      <c r="C4" t="s" s="35">
        <v>56</v>
      </c>
      <c r="D4" t="s" s="35">
        <v>57</v>
      </c>
    </row>
    <row r="5" spans="1:4" ht="21.95" customHeight="1" x14ac:dyDescent="0.25">
      <c r="A5" t="s" s="11">
        <v>60</v>
      </c>
      <c r="B5" t="s" s="22">
        <v>61</v>
      </c>
      <c r="C5" s="12">
        <v>8</v>
      </c>
      <c r="D5" s="36">
        <f>IF(SUM($C$5:$C$200)&gt;0,C5/SUM($C$5:$C$200),0)</f>
      </c>
    </row>
    <row r="6" spans="1:4" ht="21.95" customHeight="1" x14ac:dyDescent="0.25">
      <c r="A6" t="s" s="11">
        <v>65</v>
      </c>
      <c r="B6" t="s" s="22">
        <v>66</v>
      </c>
      <c r="C6" s="12">
        <v>7</v>
      </c>
      <c r="D6" s="36">
        <f>IF(SUM($C$5:$C$200)&gt;0,C6/SUM($C$5:$C$200),0)</f>
      </c>
    </row>
    <row r="7">
      <c r="A7" t="s">
        <v>67</v>
      </c>
      <c r="B7" t="s">
        <v>68</v>
      </c>
      <c r="C7">
        <v>2</v>
      </c>
      <c r="D7">
        <f>IF(SUM($C$5:$C$200)&gt;0,C7/SUM($C$5:$C$200),0)</f>
      </c>
    </row>
    <row r="8">
      <c r="A8" t="s">
        <v>69</v>
      </c>
      <c r="B8" t="s">
        <v>70</v>
      </c>
      <c r="C8">
        <v>1</v>
      </c>
      <c r="D8">
        <f>IF(SUM($C$5:$C$200)&gt;0,C8/SUM($C$5:$C$200),0)</f>
      </c>
    </row>
    <row r="9">
      <c r="A9" t="s">
        <v>58</v>
      </c>
      <c r="B9" t="s">
        <v>59</v>
      </c>
      <c r="C9">
        <v>1</v>
      </c>
      <c r="D9">
        <f>IF(SUM($C$5:$C$200)&gt;0,C9/SUM($C$5:$C$200),0)</f>
      </c>
    </row>
  </sheetData>
  <mergeCells count="2">
    <mergeCell ref="A1:D1"/>
    <mergeCell ref="A2:D2"/>
  </mergeCells>
  <conditionalFormatting sqref="D5:D6">
    <cfRule type="dataBar" priority="1">
      <dataBar>
        <cfvo type="num" val="0"/>
        <cfvo type="num" val="1"/>
        <color rgb="FF8DADDB"/>
      </dataBar>
    </cfRule>
  </conditionalFormatting>
  <hyperlinks>
    <hyperlink ref="A3" location="'Informe ABIS'!A1" tooltip="Ir al informe" display="← Volver al informe" xr:uid="{00000000-0004-0000-0200-000000000000}"/>
  </hyperlink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4">
      <c r="A4" t="s">
        <v>71</v>
      </c>
      <c r="B4" t="s">
        <v>72</v>
      </c>
      <c r="C4" t="s">
        <v>73</v>
      </c>
      <c r="D4" t="s">
        <v>74</v>
      </c>
    </row>
    <row r="5">
      <c r="A5" t="s">
        <v>75</v>
      </c>
      <c r="B5">
        <v>13</v>
      </c>
      <c r="C5">
        <v>6</v>
      </c>
      <c r="D5">
        <v>19</v>
      </c>
    </row>
    <row r="6">
      <c r="A6" t="s">
        <v>76</v>
      </c>
      <c r="B6">
        <v>0</v>
      </c>
      <c r="C6">
        <v>0</v>
      </c>
      <c r="D6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4">
      <c r="A4" t="s">
        <v>77</v>
      </c>
      <c r="B4" t="s">
        <v>74</v>
      </c>
    </row>
    <row r="5">
      <c r="A5" t="s">
        <v>78</v>
      </c>
      <c r="B5">
        <v>7</v>
      </c>
    </row>
    <row r="6">
      <c r="A6" t="s">
        <v>79</v>
      </c>
      <c r="B6">
        <v>1</v>
      </c>
    </row>
    <row r="7">
      <c r="A7" t="s">
        <v>80</v>
      </c>
      <c r="B7">
        <v>1</v>
      </c>
    </row>
    <row r="8">
      <c r="A8" t="s">
        <v>81</v>
      </c>
      <c r="B8">
        <v>1</v>
      </c>
    </row>
    <row r="9">
      <c r="A9" t="s">
        <v>82</v>
      </c>
      <c r="B9">
        <v>1</v>
      </c>
    </row>
    <row r="10">
      <c r="A10" t="s">
        <v>83</v>
      </c>
      <c r="B10">
        <v>1</v>
      </c>
    </row>
    <row r="11">
      <c r="A11" t="s">
        <v>84</v>
      </c>
      <c r="B11">
        <v>1</v>
      </c>
    </row>
    <row r="12">
      <c r="A12" t="s">
        <v>85</v>
      </c>
      <c r="B12">
        <v>1</v>
      </c>
    </row>
    <row r="13">
      <c r="A13" t="s">
        <v>86</v>
      </c>
      <c r="B13">
        <v>1</v>
      </c>
    </row>
    <row r="14">
      <c r="A14" t="s">
        <v>87</v>
      </c>
      <c r="B14">
        <v>1</v>
      </c>
    </row>
    <row r="15">
      <c r="A15" t="s">
        <v>88</v>
      </c>
      <c r="B15">
        <v>1</v>
      </c>
    </row>
    <row r="16">
      <c r="A16" t="s">
        <v>89</v>
      </c>
      <c r="B16">
        <v>1</v>
      </c>
    </row>
    <row r="17">
      <c r="A17" t="s">
        <v>90</v>
      </c>
      <c r="B17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Informe ABIS</vt:lpstr>
      <vt:lpstr>Vista Cuarteles</vt:lpstr>
      <vt:lpstr>Vista Nacionalidades</vt:lpstr>
      <vt:lpstr>'Informe ABIS'!Área_de_impresión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PONCE</cp:lastModifiedBy>
  <dcterms:created xsi:type="dcterms:W3CDTF">2026-10-02T14:05:58Z</dcterms:created>
  <dcterms:modified xsi:type="dcterms:W3CDTF">2026-10-02T14:08:17Z</dcterms:modified>
</cp:coreProperties>
</file>